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udent\Downloads\"/>
    </mc:Choice>
  </mc:AlternateContent>
  <xr:revisionPtr revIDLastSave="0" documentId="8_{2C68E034-F150-42C6-AF13-7102D3807272}" xr6:coauthVersionLast="47" xr6:coauthVersionMax="47" xr10:uidLastSave="{00000000-0000-0000-0000-000000000000}"/>
  <bookViews>
    <workbookView xWindow="28680" yWindow="-120" windowWidth="29040" windowHeight="15840" activeTab="1" xr2:uid="{FB300C15-AD09-4A27-AA2D-60719B5719EA}"/>
  </bookViews>
  <sheets>
    <sheet name="Sheet1" sheetId="1" r:id="rId1"/>
    <sheet name="Sheet2" sheetId="2"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8" i="2" l="1"/>
  <c r="J18" i="2"/>
  <c r="K18" i="2"/>
  <c r="H18" i="2"/>
  <c r="G18" i="2"/>
  <c r="F39" i="2"/>
  <c r="E39" i="2"/>
  <c r="H36" i="2"/>
  <c r="G36" i="2"/>
  <c r="G58" i="2" s="1"/>
  <c r="G78" i="2" s="1"/>
  <c r="F18" i="2"/>
  <c r="E18" i="2"/>
  <c r="G19" i="2"/>
  <c r="D19" i="2"/>
  <c r="D22" i="2" s="1"/>
  <c r="D26" i="2" s="1"/>
  <c r="D28" i="2" s="1"/>
  <c r="E19" i="2"/>
  <c r="E22" i="2" s="1"/>
  <c r="E26" i="2" s="1"/>
  <c r="E28" i="2" s="1"/>
  <c r="F19" i="2"/>
  <c r="F22" i="2" s="1"/>
  <c r="F26" i="2" s="1"/>
  <c r="F28" i="2" s="1"/>
  <c r="G25" i="2"/>
  <c r="H25" i="2"/>
  <c r="I25" i="2" s="1"/>
  <c r="J25" i="2" s="1"/>
  <c r="K25" i="2" s="1"/>
  <c r="F156" i="2"/>
  <c r="E156" i="2"/>
  <c r="D156" i="2"/>
  <c r="G155" i="2"/>
  <c r="H155" i="2" s="1"/>
  <c r="I155" i="2" s="1"/>
  <c r="J155" i="2" s="1"/>
  <c r="K155" i="2" s="1"/>
  <c r="F146" i="2"/>
  <c r="E146" i="2"/>
  <c r="F147" i="2" s="1"/>
  <c r="G145" i="2"/>
  <c r="H145" i="2" s="1"/>
  <c r="I145" i="2" s="1"/>
  <c r="J145" i="2" s="1"/>
  <c r="K145" i="2" s="1"/>
  <c r="F142" i="2"/>
  <c r="E142" i="2"/>
  <c r="D142" i="2"/>
  <c r="C140" i="2"/>
  <c r="C139" i="2"/>
  <c r="F135" i="2"/>
  <c r="E135" i="2"/>
  <c r="D135" i="2"/>
  <c r="G132" i="2"/>
  <c r="C123" i="2"/>
  <c r="C122" i="2"/>
  <c r="F119" i="2"/>
  <c r="G115" i="2" s="1"/>
  <c r="D119" i="2"/>
  <c r="G118" i="2"/>
  <c r="H118" i="2" s="1"/>
  <c r="G117" i="2"/>
  <c r="F112" i="2"/>
  <c r="G109" i="2" s="1"/>
  <c r="E112" i="2"/>
  <c r="F106" i="2"/>
  <c r="E106" i="2"/>
  <c r="E104" i="2" s="1"/>
  <c r="E105" i="2" s="1"/>
  <c r="D106" i="2"/>
  <c r="D104" i="2" s="1"/>
  <c r="D105" i="2" s="1"/>
  <c r="F104" i="2"/>
  <c r="F105" i="2" s="1"/>
  <c r="G105" i="2" s="1"/>
  <c r="H105" i="2" s="1"/>
  <c r="F101" i="2"/>
  <c r="G101" i="2" s="1"/>
  <c r="E101" i="2"/>
  <c r="D101" i="2"/>
  <c r="F99" i="2"/>
  <c r="G96" i="2" s="1"/>
  <c r="E99" i="2"/>
  <c r="C94" i="2"/>
  <c r="C93" i="2"/>
  <c r="I81" i="2"/>
  <c r="I82" i="2" s="1"/>
  <c r="H81" i="2"/>
  <c r="H82" i="2" s="1"/>
  <c r="G81" i="2"/>
  <c r="G82" i="2" s="1"/>
  <c r="C70" i="2"/>
  <c r="C69" i="2"/>
  <c r="F64" i="2"/>
  <c r="G63" i="2"/>
  <c r="H63" i="2" s="1"/>
  <c r="I63" i="2" s="1"/>
  <c r="J63" i="2" s="1"/>
  <c r="K63" i="2" s="1"/>
  <c r="E62" i="2"/>
  <c r="E119" i="2" s="1"/>
  <c r="F57" i="2"/>
  <c r="F150" i="2" s="1"/>
  <c r="E57" i="2"/>
  <c r="E150" i="2" s="1"/>
  <c r="F55" i="2"/>
  <c r="E55" i="2"/>
  <c r="F48" i="2"/>
  <c r="E48" i="2"/>
  <c r="F45" i="2"/>
  <c r="E45" i="2"/>
  <c r="E51" i="2" s="1"/>
  <c r="C44" i="2"/>
  <c r="C43" i="2"/>
  <c r="J40" i="2"/>
  <c r="K40" i="2" s="1"/>
  <c r="D39" i="2"/>
  <c r="J38" i="2"/>
  <c r="F38" i="2"/>
  <c r="E38" i="2"/>
  <c r="D38" i="2"/>
  <c r="J37" i="2"/>
  <c r="K37" i="2" s="1"/>
  <c r="J36" i="2"/>
  <c r="J97" i="2" s="1"/>
  <c r="F36" i="2"/>
  <c r="F94" i="2"/>
  <c r="F93" i="2"/>
  <c r="C2" i="2"/>
  <c r="G50" i="2" l="1"/>
  <c r="G112" i="2" s="1"/>
  <c r="G54" i="2"/>
  <c r="H54" i="2" s="1"/>
  <c r="I54" i="2" s="1"/>
  <c r="J54" i="2" s="1"/>
  <c r="K54" i="2" s="1"/>
  <c r="G55" i="2"/>
  <c r="H55" i="2" s="1"/>
  <c r="I55" i="2" s="1"/>
  <c r="J55" i="2" s="1"/>
  <c r="G32" i="2"/>
  <c r="H32" i="2" s="1"/>
  <c r="G46" i="2"/>
  <c r="H46" i="2" s="1"/>
  <c r="I46" i="2" s="1"/>
  <c r="J46" i="2" s="1"/>
  <c r="G48" i="2"/>
  <c r="H48" i="2" s="1"/>
  <c r="I48" i="2" s="1"/>
  <c r="H19" i="2"/>
  <c r="F140" i="2"/>
  <c r="E44" i="2"/>
  <c r="E122" i="2"/>
  <c r="G21" i="2"/>
  <c r="G20" i="2"/>
  <c r="F152" i="2"/>
  <c r="F151" i="2" s="1"/>
  <c r="G151" i="2" s="1"/>
  <c r="F44" i="2"/>
  <c r="D37" i="2"/>
  <c r="G61" i="2"/>
  <c r="H61" i="2" s="1"/>
  <c r="K36" i="2"/>
  <c r="K97" i="2" s="1"/>
  <c r="K81" i="2" s="1"/>
  <c r="K82" i="2" s="1"/>
  <c r="J48" i="2"/>
  <c r="G74" i="2"/>
  <c r="F123" i="2"/>
  <c r="F43" i="2"/>
  <c r="E64" i="2"/>
  <c r="G94" i="2"/>
  <c r="H58" i="2"/>
  <c r="H78" i="2" s="1"/>
  <c r="G104" i="2"/>
  <c r="G110" i="2" s="1"/>
  <c r="E59" i="2"/>
  <c r="F59" i="2"/>
  <c r="E147" i="2"/>
  <c r="E152" i="2" s="1"/>
  <c r="E151" i="2" s="1"/>
  <c r="J81" i="2"/>
  <c r="J82" i="2" s="1"/>
  <c r="D116" i="2"/>
  <c r="D40" i="2"/>
  <c r="H74" i="2"/>
  <c r="I32" i="2"/>
  <c r="K38" i="2"/>
  <c r="G126" i="2"/>
  <c r="F51" i="2"/>
  <c r="F66" i="2" s="1"/>
  <c r="E37" i="2"/>
  <c r="G98" i="2"/>
  <c r="H101" i="2"/>
  <c r="G87" i="2"/>
  <c r="H117" i="2"/>
  <c r="H151" i="2"/>
  <c r="F37" i="2"/>
  <c r="I105" i="2"/>
  <c r="I118" i="2"/>
  <c r="H86" i="2"/>
  <c r="G86" i="2"/>
  <c r="F122" i="2"/>
  <c r="F139" i="2"/>
  <c r="D31" i="2"/>
  <c r="D33" i="2" s="1"/>
  <c r="G57" i="2"/>
  <c r="K48" i="2" l="1"/>
  <c r="H50" i="2"/>
  <c r="H112" i="2" s="1"/>
  <c r="G22" i="2"/>
  <c r="K55" i="2"/>
  <c r="I17" i="2"/>
  <c r="I21" i="2" s="1"/>
  <c r="H21" i="2"/>
  <c r="H20" i="2"/>
  <c r="I61" i="2"/>
  <c r="E94" i="2"/>
  <c r="E123" i="2"/>
  <c r="E140" i="2"/>
  <c r="E139" i="2"/>
  <c r="E93" i="2"/>
  <c r="G106" i="2"/>
  <c r="G30" i="2" s="1"/>
  <c r="G73" i="2" s="1"/>
  <c r="E43" i="2"/>
  <c r="G140" i="2"/>
  <c r="G123" i="2"/>
  <c r="I58" i="2"/>
  <c r="I78" i="2" s="1"/>
  <c r="E66" i="2"/>
  <c r="G44" i="2"/>
  <c r="G70" i="2"/>
  <c r="D94" i="2"/>
  <c r="D140" i="2"/>
  <c r="D123" i="2"/>
  <c r="H109" i="2"/>
  <c r="G111" i="2"/>
  <c r="G77" i="2" s="1"/>
  <c r="I74" i="2"/>
  <c r="J32" i="2"/>
  <c r="K46" i="2"/>
  <c r="I151" i="2"/>
  <c r="G93" i="2"/>
  <c r="G139" i="2"/>
  <c r="G122" i="2"/>
  <c r="G69" i="2"/>
  <c r="G43" i="2"/>
  <c r="D122" i="2"/>
  <c r="D93" i="2"/>
  <c r="D139" i="2"/>
  <c r="H87" i="2"/>
  <c r="I117" i="2"/>
  <c r="I101" i="2"/>
  <c r="H98" i="2"/>
  <c r="H57" i="2"/>
  <c r="G150" i="2"/>
  <c r="G152" i="2" s="1"/>
  <c r="G84" i="2"/>
  <c r="J118" i="2"/>
  <c r="I86" i="2"/>
  <c r="H104" i="2"/>
  <c r="H110" i="2" s="1"/>
  <c r="E31" i="2"/>
  <c r="E33" i="2" s="1"/>
  <c r="G47" i="2"/>
  <c r="G53" i="2"/>
  <c r="J105" i="2"/>
  <c r="F31" i="2"/>
  <c r="F33" i="2" s="1"/>
  <c r="G99" i="2"/>
  <c r="I50" i="2" l="1"/>
  <c r="J50" i="2" s="1"/>
  <c r="G31" i="2"/>
  <c r="G33" i="2" s="1"/>
  <c r="H22" i="2"/>
  <c r="I19" i="2"/>
  <c r="I20" i="2"/>
  <c r="J58" i="2"/>
  <c r="J78" i="2" s="1"/>
  <c r="J17" i="2"/>
  <c r="J21" i="2" s="1"/>
  <c r="H106" i="2"/>
  <c r="H30" i="2" s="1"/>
  <c r="H73" i="2" s="1"/>
  <c r="J61" i="2"/>
  <c r="K17" i="2"/>
  <c r="J20" i="2"/>
  <c r="H44" i="2"/>
  <c r="H70" i="2"/>
  <c r="H123" i="2"/>
  <c r="H140" i="2"/>
  <c r="H94" i="2"/>
  <c r="J151" i="2"/>
  <c r="K105" i="2"/>
  <c r="G75" i="2"/>
  <c r="I87" i="2"/>
  <c r="J117" i="2"/>
  <c r="I109" i="2"/>
  <c r="H111" i="2"/>
  <c r="H77" i="2" s="1"/>
  <c r="E116" i="2"/>
  <c r="E40" i="2"/>
  <c r="J86" i="2"/>
  <c r="K118" i="2"/>
  <c r="K86" i="2" s="1"/>
  <c r="J74" i="2"/>
  <c r="K32" i="2"/>
  <c r="K74" i="2" s="1"/>
  <c r="I112" i="2"/>
  <c r="I57" i="2"/>
  <c r="H150" i="2"/>
  <c r="H152" i="2" s="1"/>
  <c r="H84" i="2"/>
  <c r="H139" i="2"/>
  <c r="H122" i="2"/>
  <c r="H43" i="2"/>
  <c r="H69" i="2"/>
  <c r="H93" i="2"/>
  <c r="G49" i="2"/>
  <c r="H96" i="2"/>
  <c r="H99" i="2" s="1"/>
  <c r="F116" i="2"/>
  <c r="F40" i="2"/>
  <c r="I104" i="2"/>
  <c r="I110" i="2" s="1"/>
  <c r="G76" i="2"/>
  <c r="J101" i="2"/>
  <c r="I98" i="2"/>
  <c r="H53" i="2"/>
  <c r="J19" i="2" l="1"/>
  <c r="J22" i="2" s="1"/>
  <c r="K58" i="2"/>
  <c r="K78" i="2" s="1"/>
  <c r="I22" i="2"/>
  <c r="K19" i="2"/>
  <c r="K21" i="2"/>
  <c r="K20" i="2"/>
  <c r="I106" i="2"/>
  <c r="I30" i="2" s="1"/>
  <c r="I73" i="2" s="1"/>
  <c r="I44" i="2"/>
  <c r="I140" i="2"/>
  <c r="I94" i="2"/>
  <c r="I70" i="2"/>
  <c r="I123" i="2"/>
  <c r="H76" i="2"/>
  <c r="H47" i="2"/>
  <c r="K101" i="2"/>
  <c r="K98" i="2" s="1"/>
  <c r="J98" i="2"/>
  <c r="J104" i="2"/>
  <c r="J110" i="2" s="1"/>
  <c r="J87" i="2"/>
  <c r="K117" i="2"/>
  <c r="K87" i="2" s="1"/>
  <c r="H31" i="2"/>
  <c r="H33" i="2" s="1"/>
  <c r="I139" i="2"/>
  <c r="I122" i="2"/>
  <c r="I69" i="2"/>
  <c r="I43" i="2"/>
  <c r="I93" i="2"/>
  <c r="K151" i="2"/>
  <c r="K61" i="2"/>
  <c r="J57" i="2"/>
  <c r="I150" i="2"/>
  <c r="I152" i="2" s="1"/>
  <c r="I84" i="2"/>
  <c r="K104" i="2"/>
  <c r="K110" i="2" s="1"/>
  <c r="K50" i="2"/>
  <c r="K112" i="2" s="1"/>
  <c r="J112" i="2"/>
  <c r="I111" i="2"/>
  <c r="I77" i="2" s="1"/>
  <c r="J109" i="2"/>
  <c r="I53" i="2"/>
  <c r="H49" i="2"/>
  <c r="I96" i="2"/>
  <c r="I99" i="2" s="1"/>
  <c r="J53" i="2" l="1"/>
  <c r="K22" i="2"/>
  <c r="J70" i="2"/>
  <c r="J140" i="2"/>
  <c r="J123" i="2"/>
  <c r="J94" i="2"/>
  <c r="J44" i="2"/>
  <c r="K106" i="2"/>
  <c r="K30" i="2" s="1"/>
  <c r="K73" i="2" s="1"/>
  <c r="I76" i="2"/>
  <c r="J139" i="2"/>
  <c r="J122" i="2"/>
  <c r="J93" i="2"/>
  <c r="J69" i="2"/>
  <c r="J43" i="2"/>
  <c r="J106" i="2"/>
  <c r="J30" i="2" s="1"/>
  <c r="J73" i="2" s="1"/>
  <c r="I47" i="2"/>
  <c r="H75" i="2"/>
  <c r="K109" i="2"/>
  <c r="K111" i="2" s="1"/>
  <c r="K77" i="2" s="1"/>
  <c r="J111" i="2"/>
  <c r="J77" i="2" s="1"/>
  <c r="J150" i="2"/>
  <c r="J84" i="2"/>
  <c r="K57" i="2"/>
  <c r="I49" i="2"/>
  <c r="J96" i="2"/>
  <c r="J99" i="2" s="1"/>
  <c r="I31" i="2"/>
  <c r="I33" i="2" s="1"/>
  <c r="K70" i="2" l="1"/>
  <c r="K94" i="2"/>
  <c r="K140" i="2"/>
  <c r="K123" i="2"/>
  <c r="K44" i="2"/>
  <c r="J76" i="2"/>
  <c r="J31" i="2"/>
  <c r="J33" i="2" s="1"/>
  <c r="K84" i="2"/>
  <c r="K150" i="2"/>
  <c r="K152" i="2" s="1"/>
  <c r="K96" i="2"/>
  <c r="K99" i="2" s="1"/>
  <c r="K49" i="2" s="1"/>
  <c r="J49" i="2"/>
  <c r="K139" i="2"/>
  <c r="K122" i="2"/>
  <c r="K43" i="2"/>
  <c r="K69" i="2"/>
  <c r="K93" i="2"/>
  <c r="K53" i="2"/>
  <c r="J152" i="2"/>
  <c r="J47" i="2"/>
  <c r="I75" i="2"/>
  <c r="K76" i="2" l="1"/>
  <c r="K47" i="2"/>
  <c r="K75" i="2" s="1"/>
  <c r="J75" i="2"/>
  <c r="K31" i="2"/>
  <c r="K33" i="2" s="1"/>
  <c r="D71" i="1" l="1"/>
  <c r="C71" i="1"/>
  <c r="D80" i="1"/>
  <c r="C80" i="1"/>
  <c r="D57" i="1"/>
  <c r="C57" i="1"/>
  <c r="D47" i="1"/>
  <c r="D68" i="1" s="1"/>
  <c r="D56" i="1"/>
  <c r="D54" i="1"/>
  <c r="C54" i="1"/>
  <c r="D51" i="1"/>
  <c r="D75" i="1"/>
  <c r="C75" i="1"/>
  <c r="D84" i="1"/>
  <c r="D87" i="1" s="1"/>
  <c r="C84" i="1"/>
  <c r="C87" i="1" s="1"/>
  <c r="D69" i="1"/>
  <c r="C69" i="1"/>
  <c r="C47" i="1"/>
  <c r="D98" i="1" s="1"/>
  <c r="D97" i="1" s="1"/>
  <c r="C51" i="1"/>
  <c r="D38" i="1"/>
  <c r="C17" i="1"/>
  <c r="C41" i="1" s="1"/>
  <c r="C22" i="1"/>
  <c r="C24" i="1" s="1"/>
  <c r="C28" i="1" s="1"/>
  <c r="C30" i="1" s="1"/>
  <c r="C33" i="1" s="1"/>
  <c r="D22" i="1"/>
  <c r="D24" i="1" s="1"/>
  <c r="D17" i="1"/>
  <c r="D18" i="1" s="1"/>
  <c r="D39" i="1" s="1"/>
  <c r="B10" i="1"/>
  <c r="C68" i="1" l="1"/>
  <c r="C81" i="1"/>
  <c r="C89" i="1" s="1"/>
  <c r="D81" i="1"/>
  <c r="D89" i="1" s="1"/>
  <c r="C18" i="1"/>
  <c r="C39" i="1" s="1"/>
  <c r="D28" i="1"/>
  <c r="D42" i="1" s="1"/>
  <c r="D41" i="1"/>
  <c r="C42" i="1"/>
  <c r="A1" i="1"/>
  <c r="A46" i="1"/>
  <c r="A45" i="1"/>
  <c r="D14" i="1"/>
  <c r="D46" i="1" s="1"/>
  <c r="C14" i="1"/>
  <c r="C46" i="1" s="1"/>
  <c r="D13" i="1"/>
  <c r="D45" i="1" s="1"/>
  <c r="D30" i="1" l="1"/>
  <c r="D33" i="1" s="1"/>
  <c r="C13" i="1"/>
  <c r="B14" i="1"/>
  <c r="C45" i="1" l="1"/>
  <c r="B13" i="1"/>
  <c r="G147" i="2"/>
  <c r="G142" i="2" s="1"/>
  <c r="G24" i="2" s="1"/>
  <c r="H147" i="2"/>
  <c r="H142" i="2" s="1"/>
  <c r="H24" i="2" s="1"/>
  <c r="I147" i="2"/>
  <c r="I142" i="2" s="1"/>
  <c r="I24" i="2" s="1"/>
  <c r="J147" i="2"/>
  <c r="J142" i="2" s="1"/>
  <c r="J24" i="2" s="1"/>
  <c r="K147" i="2"/>
  <c r="K142" i="2" s="1"/>
  <c r="K24" i="2" s="1"/>
  <c r="G156" i="2"/>
  <c r="G23" i="2" s="1"/>
  <c r="H156" i="2"/>
  <c r="H23" i="2" s="1"/>
  <c r="I156" i="2"/>
  <c r="I23" i="2" s="1"/>
  <c r="J156" i="2"/>
  <c r="J23" i="2" s="1"/>
  <c r="K156" i="2"/>
  <c r="K23" i="2" s="1"/>
  <c r="J26" i="2" l="1"/>
  <c r="J27" i="2" s="1"/>
  <c r="J28" i="2" s="1"/>
  <c r="K26" i="2"/>
  <c r="K27" i="2" s="1"/>
  <c r="I26" i="2"/>
  <c r="I27" i="2" s="1"/>
  <c r="I28" i="2" s="1"/>
  <c r="H26" i="2"/>
  <c r="G26" i="2"/>
  <c r="K28" i="2" l="1"/>
  <c r="K72" i="2" s="1"/>
  <c r="K79" i="2" s="1"/>
  <c r="G27" i="2"/>
  <c r="G28" i="2" s="1"/>
  <c r="H27" i="2"/>
  <c r="H28" i="2" s="1"/>
  <c r="I72" i="2"/>
  <c r="I79" i="2" s="1"/>
  <c r="I116" i="2"/>
  <c r="J72" i="2"/>
  <c r="J79" i="2" s="1"/>
  <c r="J116" i="2"/>
  <c r="K116" i="2" l="1"/>
  <c r="J128" i="2"/>
  <c r="I128" i="2"/>
  <c r="G116" i="2"/>
  <c r="G119" i="2" s="1"/>
  <c r="G72" i="2"/>
  <c r="G79" i="2" s="1"/>
  <c r="K128" i="2"/>
  <c r="H72" i="2"/>
  <c r="H79" i="2" s="1"/>
  <c r="H116" i="2"/>
  <c r="H128" i="2" l="1"/>
  <c r="G128" i="2"/>
  <c r="G129" i="2" s="1"/>
  <c r="G133" i="2" s="1"/>
  <c r="G135" i="2" s="1"/>
  <c r="H115" i="2"/>
  <c r="H119" i="2" s="1"/>
  <c r="G62" i="2"/>
  <c r="G64" i="2" s="1"/>
  <c r="H62" i="2" l="1"/>
  <c r="H64" i="2" s="1"/>
  <c r="I115" i="2"/>
  <c r="I119" i="2" s="1"/>
  <c r="H132" i="2"/>
  <c r="G136" i="2"/>
  <c r="G56" i="2"/>
  <c r="G59" i="2" l="1"/>
  <c r="G85" i="2"/>
  <c r="G88" i="2" s="1"/>
  <c r="G90" i="2" s="1"/>
  <c r="G45" i="2" s="1"/>
  <c r="G146" i="2"/>
  <c r="I62" i="2"/>
  <c r="I64" i="2" s="1"/>
  <c r="J115" i="2"/>
  <c r="J119" i="2" s="1"/>
  <c r="J62" i="2" l="1"/>
  <c r="J64" i="2" s="1"/>
  <c r="K115" i="2"/>
  <c r="K119" i="2" s="1"/>
  <c r="K62" i="2" s="1"/>
  <c r="K64" i="2" s="1"/>
  <c r="G51" i="2"/>
  <c r="G66" i="2" s="1"/>
  <c r="H126" i="2"/>
  <c r="H129" i="2" s="1"/>
  <c r="H133" i="2" s="1"/>
  <c r="H135" i="2" s="1"/>
  <c r="I132" i="2" l="1"/>
  <c r="H136" i="2"/>
  <c r="H56" i="2"/>
  <c r="H146" i="2" l="1"/>
  <c r="H59" i="2"/>
  <c r="H85" i="2"/>
  <c r="H88" i="2" s="1"/>
  <c r="H90" i="2" s="1"/>
  <c r="H45" i="2" s="1"/>
  <c r="I126" i="2" l="1"/>
  <c r="I129" i="2" s="1"/>
  <c r="I133" i="2" s="1"/>
  <c r="I135" i="2" s="1"/>
  <c r="H51" i="2"/>
  <c r="H66" i="2" s="1"/>
  <c r="I56" i="2" l="1"/>
  <c r="J132" i="2"/>
  <c r="I136" i="2"/>
  <c r="I146" i="2" l="1"/>
  <c r="I59" i="2"/>
  <c r="I85" i="2"/>
  <c r="I88" i="2" s="1"/>
  <c r="I90" i="2" s="1"/>
  <c r="I45" i="2" s="1"/>
  <c r="J126" i="2" l="1"/>
  <c r="J129" i="2" s="1"/>
  <c r="J133" i="2" s="1"/>
  <c r="J135" i="2" s="1"/>
  <c r="I51" i="2"/>
  <c r="I66" i="2" s="1"/>
  <c r="J56" i="2" l="1"/>
  <c r="K132" i="2"/>
  <c r="J136" i="2"/>
  <c r="J146" i="2" l="1"/>
  <c r="J59" i="2"/>
  <c r="J85" i="2"/>
  <c r="J88" i="2" s="1"/>
  <c r="J90" i="2" s="1"/>
  <c r="J45" i="2" s="1"/>
  <c r="K126" i="2" l="1"/>
  <c r="K129" i="2" s="1"/>
  <c r="K133" i="2" s="1"/>
  <c r="K135" i="2" s="1"/>
  <c r="J51" i="2"/>
  <c r="J66" i="2" s="1"/>
  <c r="K56" i="2" l="1"/>
  <c r="K136" i="2"/>
  <c r="K146" i="2" l="1"/>
  <c r="K85" i="2"/>
  <c r="K88" i="2" s="1"/>
  <c r="K90" i="2" s="1"/>
  <c r="K45" i="2" s="1"/>
  <c r="K51" i="2" s="1"/>
  <c r="K59" i="2"/>
  <c r="K6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B10" authorId="0" shapeId="0" xr:uid="{127D20CD-3A68-4AB9-B7D6-4023C7D7FC38}">
      <text>
        <r>
          <rPr>
            <sz val="9"/>
            <color indexed="81"/>
            <rFont val="Tahoma"/>
            <family val="2"/>
          </rPr>
          <t>Front cover of Apple 2018 10K</t>
        </r>
      </text>
    </comment>
    <comment ref="A66" authorId="0" shapeId="0" xr:uid="{98F69B6C-D604-47AB-A334-3B6B462FAABA}">
      <text>
        <r>
          <rPr>
            <sz val="9"/>
            <color indexed="81"/>
            <rFont val="Tahoma"/>
            <family val="2"/>
          </rPr>
          <t xml:space="preserve">AAPL started aggregating goodwill, intangible assets and other non current assets into one line item in 2018 and no longer provides a breakout of the individual line items.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C5A5A0AB-EEE2-4FFF-85F1-3BEF60771D24}">
      <text>
        <r>
          <rPr>
            <sz val="9"/>
            <color indexed="81"/>
            <rFont val="Tahoma"/>
            <family val="2"/>
          </rPr>
          <t>Front cover of Apple 2018 10K</t>
        </r>
      </text>
    </comment>
    <comment ref="C48" authorId="0" shapeId="0" xr:uid="{EBF51CAA-41D3-4EF8-9FAC-F0F4E7C9BBD1}">
      <text>
        <r>
          <rPr>
            <sz val="9"/>
            <color indexed="81"/>
            <rFont val="Tahoma"/>
            <family val="2"/>
          </rPr>
          <t>Includes vendor non-trade receivables</t>
        </r>
      </text>
    </comment>
    <comment ref="C50" authorId="0" shapeId="0" xr:uid="{5A65021C-EA53-4E70-BCAC-88D17F5CD43A}">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M101" authorId="0" shapeId="0" xr:uid="{09EBAE82-70DF-4B6A-881E-0F316B37987D}">
      <text>
        <r>
          <rPr>
            <sz val="9"/>
            <color indexed="81"/>
            <rFont val="Tahoma"/>
            <family val="2"/>
          </rPr>
          <t>WSP estimate</t>
        </r>
      </text>
    </comment>
    <comment ref="C117" authorId="0" shapeId="0" xr:uid="{03A7D7B7-0699-4271-8609-E3603AC36411}">
      <text>
        <r>
          <rPr>
            <sz val="9"/>
            <color indexed="81"/>
            <rFont val="Tahoma"/>
            <family val="2"/>
          </rPr>
          <t>Statement of shareholders equity schedule, p.41 Apple 2018 10K</t>
        </r>
      </text>
    </comment>
    <comment ref="C118" authorId="0" shapeId="0" xr:uid="{9657A77E-A65A-4F36-AA3C-405397E6E2CC}">
      <text>
        <r>
          <rPr>
            <sz val="9"/>
            <color indexed="81"/>
            <rFont val="Tahoma"/>
            <family val="2"/>
          </rPr>
          <t>Statement of shareholders equity schedule, p.41 Apple 2018 10K</t>
        </r>
      </text>
    </comment>
    <comment ref="E145" authorId="0" shapeId="0" xr:uid="{1B0D09D6-507F-4999-8CEA-815E124AC940}">
      <text>
        <r>
          <rPr>
            <sz val="9"/>
            <color indexed="81"/>
            <rFont val="Tahoma"/>
            <family val="2"/>
          </rPr>
          <t>2018 Note 5 - Debt. 10K p55</t>
        </r>
      </text>
    </comment>
    <comment ref="F145" authorId="0" shapeId="0" xr:uid="{04C0CE92-20BC-4483-B925-1476A767A2B8}">
      <text>
        <r>
          <rPr>
            <sz val="9"/>
            <color indexed="81"/>
            <rFont val="Tahoma"/>
            <family val="2"/>
          </rPr>
          <t>2018 Note 5 - Debt. 10K p55</t>
        </r>
      </text>
    </comment>
    <comment ref="C151" authorId="0" shapeId="0" xr:uid="{1FB3CBB8-CD03-418B-A7C3-19F7F9A563F1}">
      <text>
        <r>
          <rPr>
            <sz val="9"/>
            <color indexed="81"/>
            <rFont val="Tahoma"/>
            <family val="2"/>
          </rPr>
          <t xml:space="preserve">We estimate the historical interest rate (though not explicitly disclosed by Apple). </t>
        </r>
      </text>
    </comment>
    <comment ref="C152" authorId="0" shapeId="0" xr:uid="{D25AD638-8EDB-4CE0-BF00-5A9773B3769C}">
      <text>
        <r>
          <rPr>
            <sz val="9"/>
            <color indexed="81"/>
            <rFont val="Tahoma"/>
            <family val="2"/>
          </rPr>
          <t>Although Apple doesn't disclose interest expense specifically, it does disclose the interest rate on commercial paper which enables us to back into interest expense for LTD</t>
        </r>
      </text>
    </comment>
    <comment ref="D155" authorId="0" shapeId="0" xr:uid="{CA91ED37-FDF9-4D7C-A966-FF3D20A1D677}">
      <text>
        <r>
          <rPr>
            <sz val="9"/>
            <color indexed="81"/>
            <rFont val="Tahoma"/>
            <family val="2"/>
          </rPr>
          <t>2018 p.27 in the 'Other Income/(Expense), Net' section.</t>
        </r>
      </text>
    </comment>
    <comment ref="E155" authorId="0" shapeId="0" xr:uid="{B200D46C-7BB6-4AC8-AD74-05B1C6A94D29}">
      <text>
        <r>
          <rPr>
            <sz val="9"/>
            <color indexed="81"/>
            <rFont val="Tahoma"/>
            <family val="2"/>
          </rPr>
          <t>2018 p.27 in the 'Other Income/(Expense), Net' section.</t>
        </r>
      </text>
    </comment>
    <comment ref="F155" authorId="0" shapeId="0" xr:uid="{4EB8DD37-8624-4485-9BF2-C0740485620D}">
      <text>
        <r>
          <rPr>
            <sz val="9"/>
            <color indexed="81"/>
            <rFont val="Tahoma"/>
            <family val="2"/>
          </rPr>
          <t>2018 p.27 in the 'Other Income/(Expense), Net' section.</t>
        </r>
      </text>
    </comment>
  </commentList>
</comments>
</file>

<file path=xl/sharedStrings.xml><?xml version="1.0" encoding="utf-8"?>
<sst xmlns="http://schemas.openxmlformats.org/spreadsheetml/2006/main" count="305" uniqueCount="218">
  <si>
    <t>$ in thousands except per share</t>
  </si>
  <si>
    <t>Company name</t>
  </si>
  <si>
    <t>Ticker</t>
  </si>
  <si>
    <t>Circ break 1=off, 0=on</t>
  </si>
  <si>
    <t>Latest closing share price</t>
  </si>
  <si>
    <t>Latest closing share price date</t>
  </si>
  <si>
    <t>Latest fiscal year end date</t>
  </si>
  <si>
    <t>INCOME STATEMENT</t>
  </si>
  <si>
    <t xml:space="preserve">Fiscal year  </t>
  </si>
  <si>
    <t>Fiscal year end date</t>
  </si>
  <si>
    <t>Revenue</t>
  </si>
  <si>
    <t>Cost of sales (enter as -)</t>
  </si>
  <si>
    <t>Gross Profit</t>
  </si>
  <si>
    <t>Research &amp; development (enter as -)</t>
  </si>
  <si>
    <t>Selling, general &amp; administrative (enter as -)</t>
  </si>
  <si>
    <t>Operating profit (EBIT)</t>
  </si>
  <si>
    <t>Interest income</t>
  </si>
  <si>
    <t>Interest expense (enter as -)</t>
  </si>
  <si>
    <t>Other expense, net (enter as -)</t>
  </si>
  <si>
    <t>Pretax profit</t>
  </si>
  <si>
    <t>Taxes (enter expense as -)</t>
  </si>
  <si>
    <t>Net income</t>
  </si>
  <si>
    <t>Depreciation &amp; amortization</t>
  </si>
  <si>
    <t>From cash flow statement</t>
  </si>
  <si>
    <t>EBITDA</t>
  </si>
  <si>
    <t>EBIT + D&amp;A</t>
  </si>
  <si>
    <t>Stock based compensation</t>
  </si>
  <si>
    <t>Adjusted EBITDA</t>
  </si>
  <si>
    <t>EBITDA + Stock-based compensation</t>
  </si>
  <si>
    <t xml:space="preserve">Growth rates &amp; margins </t>
  </si>
  <si>
    <t>Revenue growth</t>
  </si>
  <si>
    <t>Current year / Last year - 1</t>
  </si>
  <si>
    <t>Gross profit margin</t>
  </si>
  <si>
    <t>Gross profit / revenue</t>
  </si>
  <si>
    <t>R&amp;D % of sales</t>
  </si>
  <si>
    <t>R&amp;D / Revenue</t>
  </si>
  <si>
    <t>SG&amp;A % of sales</t>
  </si>
  <si>
    <t>SG&amp;A / Revenue</t>
  </si>
  <si>
    <t>Tax rate</t>
  </si>
  <si>
    <t>Taxes / Pretax Profit</t>
  </si>
  <si>
    <t>BALANCE SHEET</t>
  </si>
  <si>
    <t>Cash &amp; equivalents, ST and LT marketable securities</t>
  </si>
  <si>
    <t>Accounts receivable</t>
  </si>
  <si>
    <t>Inventories</t>
  </si>
  <si>
    <t>Other current assets</t>
  </si>
  <si>
    <t>Property, plant &amp; equipment</t>
  </si>
  <si>
    <t>Other non current assets</t>
  </si>
  <si>
    <t>Total assets</t>
  </si>
  <si>
    <t>Accounts payable</t>
  </si>
  <si>
    <t>Other current liabilities</t>
  </si>
  <si>
    <t>Deferred revenue (current and non current)</t>
  </si>
  <si>
    <t>Commercial paper / revolver</t>
  </si>
  <si>
    <t>Long term debt (includes current portion)</t>
  </si>
  <si>
    <t>Other non current liabilities</t>
  </si>
  <si>
    <t>Total liabilities</t>
  </si>
  <si>
    <t>Common stock</t>
  </si>
  <si>
    <t xml:space="preserve">Retained earnings </t>
  </si>
  <si>
    <t>Other comprehensive income</t>
  </si>
  <si>
    <t>Total equity</t>
  </si>
  <si>
    <t>Balance check</t>
  </si>
  <si>
    <t>Additional data</t>
  </si>
  <si>
    <t>Capital expenditures (enter as +)</t>
  </si>
  <si>
    <t>D&amp;A related only to PP&amp;E (enter as -)</t>
  </si>
  <si>
    <t>Property plant and equipment section - Apple 2018 10K p.45</t>
  </si>
  <si>
    <t>Dividends</t>
  </si>
  <si>
    <t>Statement of shareholders equity schedule - p.41 Apple 2018 10K</t>
  </si>
  <si>
    <t>Repurchases</t>
  </si>
  <si>
    <t>Weighted average interest rate on commercial paper</t>
  </si>
  <si>
    <t>Note 5 - Debt. Apple 2018 10K p55</t>
  </si>
  <si>
    <t>Weighted average interest rate on cash</t>
  </si>
  <si>
    <t xml:space="preserve">'Other Income/(Expense), Net' section - Apple 2018 10K p.27 </t>
  </si>
  <si>
    <t>TRENT LTD</t>
  </si>
  <si>
    <t>TRENT</t>
  </si>
  <si>
    <t>Other income</t>
  </si>
  <si>
    <t>Shares outstanding (crores)</t>
  </si>
  <si>
    <t>Exceptional Items</t>
  </si>
  <si>
    <t>share in Profit and (Loss) of associates/Joint venture as per Equity method</t>
  </si>
  <si>
    <t>Capital Work in Progress</t>
  </si>
  <si>
    <t>ROU assets</t>
  </si>
  <si>
    <t>deffered tax assets</t>
  </si>
  <si>
    <t>Intangible assets</t>
  </si>
  <si>
    <t xml:space="preserve">other intangible assets </t>
  </si>
  <si>
    <t>goodwill consolidated</t>
  </si>
  <si>
    <t>Investment property</t>
  </si>
  <si>
    <t>FINANCIAL ASSETS</t>
  </si>
  <si>
    <t>Current investments</t>
  </si>
  <si>
    <t>Short-term loans</t>
  </si>
  <si>
    <t>Long-term investments</t>
  </si>
  <si>
    <t>Long-term loans</t>
  </si>
  <si>
    <t>other long term</t>
  </si>
  <si>
    <t>Other short trem</t>
  </si>
  <si>
    <t>OTHER FINANCIAL LIABILITIES</t>
  </si>
  <si>
    <t>Current</t>
  </si>
  <si>
    <t>Non current</t>
  </si>
  <si>
    <t>Lease Liabilities</t>
  </si>
  <si>
    <t>NCI</t>
  </si>
  <si>
    <t>Current provisions</t>
  </si>
  <si>
    <t>Non current provisions</t>
  </si>
  <si>
    <t>WSP Comments</t>
  </si>
  <si>
    <t>Revenue x Gross Profit Margin forecast</t>
  </si>
  <si>
    <t>Revenue x R&amp;D % of sales forecast</t>
  </si>
  <si>
    <t>Revenue x SG&amp;A % of sales forecast</t>
  </si>
  <si>
    <t>Gross Profit - R&amp;D - SG&amp;A</t>
  </si>
  <si>
    <t>Reference from interest on cash schedule</t>
  </si>
  <si>
    <t>Reference from interest expense schedule</t>
  </si>
  <si>
    <t>Straight-line</t>
  </si>
  <si>
    <t>EBIT + interest income less interest expense less other expense</t>
  </si>
  <si>
    <t>Pre-tax Profit x Tax Rate forecast</t>
  </si>
  <si>
    <t>Pre-tax Profit less taxes</t>
  </si>
  <si>
    <t>Reference from D&amp;A schedule</t>
  </si>
  <si>
    <t>WSP assumption: grow SBC in-line with revenue growth</t>
  </si>
  <si>
    <t>Reference from 'net change in cash' line on the cash flow statement</t>
  </si>
  <si>
    <t>Grow in-line with revenue growth</t>
  </si>
  <si>
    <t>Grow in-line with cost of sales growth</t>
  </si>
  <si>
    <t>Reference from PP&amp;E schedule</t>
  </si>
  <si>
    <t>WSP assumption: straight-line</t>
  </si>
  <si>
    <t>Increase by stock-based compensation forecasted in the I/S section</t>
  </si>
  <si>
    <t>Reference from Retained Earnings schedule</t>
  </si>
  <si>
    <t>Forecast</t>
  </si>
  <si>
    <t xml:space="preserve">BOP = Previous year EOP </t>
  </si>
  <si>
    <t>JP Morgan through 2021; WSP assumption thereafter</t>
  </si>
  <si>
    <t>Capex x 'D&amp;A related to PP&amp;E as a % of capex' ratio (below)</t>
  </si>
  <si>
    <t>BOP + Capex - Depreciation</t>
  </si>
  <si>
    <t>Step</t>
  </si>
  <si>
    <t>Revenue x 'as % of revenue' assumption</t>
  </si>
  <si>
    <t>Straight line last historical % of revenue - WSP assumption</t>
  </si>
  <si>
    <t>D&amp;A from PP&amp;E + D&amp;A not from PP&amp;E</t>
  </si>
  <si>
    <t xml:space="preserve">Assume all D&amp;A not from PP&amp;E is in non-current assets </t>
  </si>
  <si>
    <t>Because we already know the EOP balance, this is a plug: EOP - D&amp;A not from PP&amp;E - BOP</t>
  </si>
  <si>
    <t>Referenced from balance sheet</t>
  </si>
  <si>
    <t>Reference from income statement</t>
  </si>
  <si>
    <t>WSP assumption: Straight-line last historical year dividends</t>
  </si>
  <si>
    <t>WSP assumption: Straight-line last historical year repurchases</t>
  </si>
  <si>
    <t>BOP + net income - dividends - repurchases</t>
  </si>
  <si>
    <t>Growth rates &amp; margins</t>
  </si>
  <si>
    <t>CASH FLOW STATEMENT</t>
  </si>
  <si>
    <t>Depreciation and amortization</t>
  </si>
  <si>
    <t>Decreases / (Increases) in working capital assets</t>
  </si>
  <si>
    <t>Increases / (Decreases) in working capital liabilities</t>
  </si>
  <si>
    <t>Cash from operating activities</t>
  </si>
  <si>
    <t>Capital expenditures</t>
  </si>
  <si>
    <t>Cash from investing activities</t>
  </si>
  <si>
    <t>Long term debt</t>
  </si>
  <si>
    <t>Revolver</t>
  </si>
  <si>
    <t>Share repurchases</t>
  </si>
  <si>
    <t>Common dividends</t>
  </si>
  <si>
    <t>Cash from financing activities</t>
  </si>
  <si>
    <t>Net change in cash during period</t>
  </si>
  <si>
    <t>PROPERTY, PLANT &amp; EQUIPMENT</t>
  </si>
  <si>
    <t>Beginning of period</t>
  </si>
  <si>
    <t>Plus: Capital expenditures</t>
  </si>
  <si>
    <t>Less: Depreciation</t>
  </si>
  <si>
    <t>End of period</t>
  </si>
  <si>
    <t>D&amp;A related to PP&amp;E as a % of capex</t>
  </si>
  <si>
    <t>IMPUTING TOTAL DEPRECIATION &amp; AMORTIZATION</t>
  </si>
  <si>
    <r>
      <t xml:space="preserve">D&amp;A </t>
    </r>
    <r>
      <rPr>
        <u/>
        <sz val="11"/>
        <color theme="1"/>
        <rFont val="Calibri"/>
        <family val="2"/>
        <scheme val="minor"/>
      </rPr>
      <t>not</t>
    </r>
    <r>
      <rPr>
        <sz val="11"/>
        <color theme="1"/>
        <rFont val="Calibri"/>
        <family val="2"/>
        <scheme val="minor"/>
      </rPr>
      <t xml:space="preserve"> related to PP&amp;E</t>
    </r>
  </si>
  <si>
    <t>as % of revenue</t>
  </si>
  <si>
    <t xml:space="preserve">Depreciation &amp; Amortization - Total </t>
  </si>
  <si>
    <t>OTHER NON-CURRENT ASSETS</t>
  </si>
  <si>
    <t xml:space="preserve">Plus: Additions </t>
  </si>
  <si>
    <t>RETAINED EARNINGS</t>
  </si>
  <si>
    <t>Plus: Net income</t>
  </si>
  <si>
    <t>Less: Dividends</t>
  </si>
  <si>
    <t>Less: Repurchases</t>
  </si>
  <si>
    <t>Apple</t>
  </si>
  <si>
    <t>AAPL</t>
  </si>
  <si>
    <t>Shares outstanding (millions)</t>
  </si>
  <si>
    <t>Reference EOP balance from CP/revolver schedule</t>
  </si>
  <si>
    <t>Reference from the I/S</t>
  </si>
  <si>
    <t>Reference from schedule NOT the B/S: Only include 'Additions' (as outflow)</t>
  </si>
  <si>
    <t>Reference from B/S</t>
  </si>
  <si>
    <t>Less: Amortization of intangible assets</t>
  </si>
  <si>
    <t>REVOLVER (MODEL PLUG)</t>
  </si>
  <si>
    <t>Revolver needs analysis</t>
  </si>
  <si>
    <t>Cash at beginning of period (BOP)</t>
  </si>
  <si>
    <t>Reference prior period EOP from B/S</t>
  </si>
  <si>
    <t>Less: Minimum cash balance</t>
  </si>
  <si>
    <t>WSP assumption</t>
  </si>
  <si>
    <t>Plus: Free cash flows generated during period</t>
  </si>
  <si>
    <r>
      <t xml:space="preserve">CFO + CFI + CFF </t>
    </r>
    <r>
      <rPr>
        <u/>
        <sz val="11"/>
        <color theme="1"/>
        <rFont val="Calibri"/>
        <family val="2"/>
        <scheme val="minor"/>
      </rPr>
      <t>except revolver</t>
    </r>
  </si>
  <si>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</si>
  <si>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</si>
  <si>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</si>
  <si>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</si>
  <si>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</si>
  <si>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</si>
  <si>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</si>
  <si>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</si>
  <si>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</si>
  <si>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</si>
  <si>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</si>
  <si>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</si>
  <si>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</si>
  <si>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</si>
  <si>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</si>
  <si>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</si>
  <si>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</si>
  <si>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</si>
  <si>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</si>
  <si>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Interest rate x average of BOP &amp; EOP cash balances (circularity)</t>
  </si>
  <si>
    <t>31/3/2023</t>
  </si>
  <si>
    <t>DERIVED FROM SAME STORE GROWTH AND NEW STORE GROWTH</t>
  </si>
  <si>
    <t xml:space="preserve">REVENUE FORECASTS </t>
  </si>
  <si>
    <t>Segment</t>
  </si>
  <si>
    <t>Revenue (₹ cr)</t>
  </si>
  <si>
    <t>% of total</t>
  </si>
  <si>
    <t>Zudio</t>
  </si>
  <si>
    <t>~8,400</t>
  </si>
  <si>
    <t>~49%</t>
  </si>
  <si>
    <t>Westside</t>
  </si>
  <si>
    <t>~4,400</t>
  </si>
  <si>
    <t>~26%</t>
  </si>
  <si>
    <t>Star Bazaar + others</t>
  </si>
  <si>
    <t>~4,300</t>
  </si>
  <si>
    <t>~25%</t>
  </si>
  <si>
    <t>Total Trent</t>
  </si>
  <si>
    <t>DERIVED FROM SAME STORE GROWTH AND NEW STORE GROWTH and straight line after 2028</t>
  </si>
  <si>
    <t>Straight line should be about the same as the model wont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</si>
</sst>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0.00_);[Red]\(&quot;$&quot;#,##0.00\)"/>
    <numFmt numFmtId="165" formatCode="_(#,##0_)_%;\(#,##0\)_%;_(&quot;–&quot;_)_%;_(@_)_%"/>
    <numFmt numFmtId="166" formatCode="m/d/yy;@"/>
    <numFmt numFmtId="167" formatCode="#,##0.000_);\(#,##0.000\)"/>
    <numFmt numFmtId="168" formatCode="0\A;[Red]0\A"/>
    <numFmt numFmtId="169" formatCode="_(#,##0.0%_);\(#,##0.0%\);_(&quot;–&quot;_)_%;_(@_)_%"/>
    <numFmt numFmtId="170" formatCode="0.0%_);\(0.0%\);@_)"/>
    <numFmt numFmtId="171" formatCode="0.0\x_);\(0.0\);@_)"/>
    <numFmt numFmtId="172" formatCode="0.0_);\(0.0\);@_)"/>
    <numFmt numFmtId="173" formatCode="0\P_);\(0\P\)"/>
    <numFmt numFmtId="174" formatCode="0.0%"/>
    <numFmt numFmtId="175" formatCode="0.00%_);\(0.00%\);@_)"/>
    <numFmt numFmtId="176" formatCode="_(#,##0.00%_);\(#,##0.00%\);_(&quot;–&quot;_)_%;_(@_)_%"/>
  </numFmts>
  <fonts count="16" x14ac:knownFonts="1">
    <font>
      <sz val="11"/>
      <color theme="1"/>
      <name val="Calibri"/>
      <family val="2"/>
      <scheme val="minor"/>
    </font>
    <font>
      <b/>
      <sz val="11"/>
      <color theme="1"/>
      <name val="Calibri"/>
      <family val="2"/>
      <scheme val="minor"/>
    </font>
    <font>
      <i/>
      <sz val="11"/>
      <color rgb="FF000000"/>
      <name val="Calibri"/>
      <family val="2"/>
      <scheme val="minor"/>
    </font>
    <font>
      <sz val="11"/>
      <color rgb="FF000000"/>
      <name val="Calibri"/>
      <family val="2"/>
      <scheme val="minor"/>
    </font>
    <font>
      <sz val="11"/>
      <color rgb="FF0000FF"/>
      <name val="Calibri"/>
      <family val="2"/>
      <scheme val="minor"/>
    </font>
    <font>
      <i/>
      <sz val="11"/>
      <color theme="1"/>
      <name val="Calibri"/>
      <family val="2"/>
      <scheme val="minor"/>
    </font>
    <font>
      <i/>
      <sz val="11"/>
      <color rgb="FF0000FF"/>
      <name val="Calibri"/>
      <family val="2"/>
      <scheme val="minor"/>
    </font>
    <font>
      <b/>
      <sz val="11"/>
      <color rgb="FF000000"/>
      <name val="Calibri"/>
      <family val="2"/>
      <scheme val="minor"/>
    </font>
    <font>
      <u/>
      <sz val="11"/>
      <color theme="1"/>
      <name val="Calibri"/>
      <family val="2"/>
      <scheme val="minor"/>
    </font>
    <font>
      <sz val="9"/>
      <color indexed="81"/>
      <name val="Tahoma"/>
      <family val="2"/>
    </font>
    <font>
      <b/>
      <sz val="11"/>
      <color rgb="FF2018B8"/>
      <name val="Calibri"/>
      <family val="2"/>
      <scheme val="minor"/>
    </font>
    <font>
      <sz val="9"/>
      <color rgb="FF008000"/>
      <name val="Calibri"/>
      <family val="2"/>
      <scheme val="minor"/>
    </font>
    <font>
      <sz val="8"/>
      <color rgb="FFFF0000"/>
      <name val="Calibri"/>
      <family val="2"/>
      <scheme val="minor"/>
    </font>
    <font>
      <sz val="11"/>
      <color rgb="FF000000"/>
      <name val="Times New Roman"/>
      <family val="1"/>
    </font>
    <font>
      <b/>
      <u/>
      <sz val="11"/>
      <color theme="1"/>
      <name val="Calibri"/>
      <family val="2"/>
      <scheme val="minor"/>
    </font>
    <font>
      <sz val="11"/>
      <name val="Calibri"/>
      <family val="2"/>
      <scheme val="minor"/>
    </font>
  </fonts>
  <fills count="8">
    <fill>
      <patternFill patternType="none"/>
    </fill>
    <fill>
      <patternFill patternType="gray125"/>
    </fill>
    <fill>
      <patternFill patternType="solid">
        <fgColor rgb="FFFCE5CD"/>
        <bgColor indexed="64"/>
      </patternFill>
    </fill>
    <fill>
      <patternFill patternType="solid">
        <fgColor rgb="FFC9DAF8"/>
        <bgColor indexed="64"/>
      </patternFill>
    </fill>
    <fill>
      <patternFill patternType="solid">
        <fgColor rgb="FFC9DAF8"/>
        <bgColor rgb="FF000000"/>
      </patternFill>
    </fill>
    <fill>
      <patternFill patternType="darkDown"/>
    </fill>
    <fill>
      <patternFill patternType="solid">
        <fgColor rgb="FFF4CCCC"/>
        <bgColor indexed="64"/>
      </patternFill>
    </fill>
    <fill>
      <patternFill patternType="solid">
        <fgColor rgb="FFF4CCCC"/>
        <bgColor rgb="FF000000"/>
      </patternFill>
    </fill>
  </fills>
  <borders count="12">
    <border>
      <left/>
      <right/>
      <top/>
      <bottom/>
      <diagonal/>
    </border>
    <border>
      <left/>
      <right/>
      <top style="medium">
        <color rgb="FF000000"/>
      </top>
      <bottom style="medium">
        <color rgb="FF000000"/>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bottom style="thin">
        <color auto="1"/>
      </bottom>
      <diagonal/>
    </border>
    <border>
      <left/>
      <right/>
      <top/>
      <bottom style="hair">
        <color rgb="FF000000"/>
      </bottom>
      <diagonal/>
    </border>
    <border>
      <left/>
      <right/>
      <top style="thin">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hair">
        <color rgb="FF000000"/>
      </top>
      <bottom/>
      <diagonal/>
    </border>
  </borders>
  <cellStyleXfs count="1">
    <xf numFmtId="0" fontId="0" fillId="0" borderId="0"/>
  </cellStyleXfs>
  <cellXfs count="119">
    <xf numFmtId="0" fontId="0" fillId="0" borderId="0" xfId="0"/>
    <xf numFmtId="0" fontId="1" fillId="0" borderId="1" xfId="0" applyFont="1" applyBorder="1"/>
    <xf numFmtId="0" fontId="0" fillId="0" borderId="1" xfId="0" applyBorder="1"/>
    <xf numFmtId="0" fontId="0" fillId="0" borderId="0" xfId="0" quotePrefix="1"/>
    <xf numFmtId="14" fontId="2" fillId="0" borderId="0" xfId="0" applyNumberFormat="1" applyFont="1" applyAlignment="1">
      <alignment horizontal="left"/>
    </xf>
    <xf numFmtId="0" fontId="0" fillId="0" borderId="2" xfId="0" applyBorder="1"/>
    <xf numFmtId="0" fontId="3" fillId="0" borderId="0" xfId="0" applyFont="1"/>
    <xf numFmtId="0" fontId="4" fillId="0" borderId="0" xfId="0" applyFont="1" applyAlignment="1">
      <alignment horizontal="center"/>
    </xf>
    <xf numFmtId="165" fontId="4" fillId="2" borderId="3" xfId="0" applyNumberFormat="1" applyFont="1" applyFill="1" applyBorder="1" applyAlignment="1">
      <alignment horizontal="center"/>
    </xf>
    <xf numFmtId="164" fontId="4" fillId="0" borderId="0" xfId="0" applyNumberFormat="1" applyFont="1" applyAlignment="1">
      <alignment horizontal="center"/>
    </xf>
    <xf numFmtId="14" fontId="4" fillId="0" borderId="0" xfId="0" applyNumberFormat="1" applyFont="1" applyAlignment="1">
      <alignment horizontal="center"/>
    </xf>
    <xf numFmtId="166" fontId="4" fillId="0" borderId="0" xfId="0" applyNumberFormat="1" applyFont="1" applyAlignment="1">
      <alignment horizontal="center"/>
    </xf>
    <xf numFmtId="167" fontId="4" fillId="3" borderId="0" xfId="0" applyNumberFormat="1" applyFont="1" applyFill="1" applyAlignment="1">
      <alignment horizontal="center"/>
    </xf>
    <xf numFmtId="0" fontId="4" fillId="0" borderId="0" xfId="0" applyFont="1"/>
    <xf numFmtId="0" fontId="1" fillId="0" borderId="4" xfId="0" applyFont="1" applyBorder="1"/>
    <xf numFmtId="0" fontId="0" fillId="0" borderId="4" xfId="0" applyBorder="1"/>
    <xf numFmtId="168" fontId="1" fillId="0" borderId="0" xfId="0" applyNumberFormat="1" applyFont="1"/>
    <xf numFmtId="0" fontId="5" fillId="0" borderId="4" xfId="0" applyFont="1" applyBorder="1"/>
    <xf numFmtId="166" fontId="5" fillId="0" borderId="5" xfId="0" applyNumberFormat="1" applyFont="1" applyBorder="1"/>
    <xf numFmtId="164" fontId="3" fillId="0" borderId="0" xfId="0" applyNumberFormat="1" applyFont="1"/>
    <xf numFmtId="0" fontId="5" fillId="0" borderId="0" xfId="0" applyFont="1"/>
    <xf numFmtId="166" fontId="6" fillId="0" borderId="0" xfId="0" applyNumberFormat="1" applyFont="1"/>
    <xf numFmtId="166" fontId="5" fillId="0" borderId="0" xfId="0" applyNumberFormat="1" applyFont="1"/>
    <xf numFmtId="37" fontId="4" fillId="3" borderId="0" xfId="0" applyNumberFormat="1" applyFont="1" applyFill="1"/>
    <xf numFmtId="37" fontId="4" fillId="4" borderId="0" xfId="0" applyNumberFormat="1" applyFont="1" applyFill="1"/>
    <xf numFmtId="0" fontId="1" fillId="0" borderId="0" xfId="0" applyFont="1"/>
    <xf numFmtId="37" fontId="7" fillId="4" borderId="0" xfId="0" applyNumberFormat="1" applyFont="1" applyFill="1"/>
    <xf numFmtId="37" fontId="7" fillId="3" borderId="0" xfId="0" applyNumberFormat="1" applyFont="1" applyFill="1"/>
    <xf numFmtId="0" fontId="0" fillId="0" borderId="0" xfId="0" applyAlignment="1">
      <alignment horizontal="left" indent="1"/>
    </xf>
    <xf numFmtId="0" fontId="0" fillId="0" borderId="0" xfId="0" applyAlignment="1">
      <alignment horizontal="left"/>
    </xf>
    <xf numFmtId="0" fontId="1" fillId="0" borderId="0" xfId="0" applyFont="1" applyAlignment="1">
      <alignment horizontal="left"/>
    </xf>
    <xf numFmtId="0" fontId="8" fillId="0" borderId="0" xfId="0" applyFont="1"/>
    <xf numFmtId="0" fontId="3" fillId="5" borderId="0" xfId="0" applyFont="1" applyFill="1"/>
    <xf numFmtId="169" fontId="3" fillId="3" borderId="0" xfId="0" applyNumberFormat="1" applyFont="1" applyFill="1"/>
    <xf numFmtId="170" fontId="4" fillId="0" borderId="0" xfId="0" applyNumberFormat="1" applyFont="1"/>
    <xf numFmtId="166" fontId="5" fillId="0" borderId="4" xfId="0" applyNumberFormat="1" applyFont="1" applyBorder="1"/>
    <xf numFmtId="14" fontId="5" fillId="0" borderId="0" xfId="0" applyNumberFormat="1" applyFont="1"/>
    <xf numFmtId="168" fontId="7" fillId="0" borderId="0" xfId="0" applyNumberFormat="1" applyFont="1"/>
    <xf numFmtId="166" fontId="2" fillId="0" borderId="4" xfId="0" applyNumberFormat="1" applyFont="1" applyBorder="1"/>
    <xf numFmtId="37" fontId="4" fillId="0" borderId="0" xfId="0" applyNumberFormat="1" applyFont="1"/>
    <xf numFmtId="3" fontId="0" fillId="0" borderId="0" xfId="0" applyNumberFormat="1"/>
    <xf numFmtId="37" fontId="7" fillId="0" borderId="0" xfId="0" applyNumberFormat="1" applyFont="1"/>
    <xf numFmtId="37" fontId="0" fillId="0" borderId="0" xfId="0" applyNumberFormat="1"/>
    <xf numFmtId="0" fontId="7" fillId="0" borderId="0" xfId="0" applyFont="1"/>
    <xf numFmtId="37" fontId="3" fillId="0" borderId="0" xfId="0" applyNumberFormat="1" applyFont="1"/>
    <xf numFmtId="37" fontId="1" fillId="0" borderId="0" xfId="0" applyNumberFormat="1" applyFont="1"/>
    <xf numFmtId="37" fontId="5" fillId="0" borderId="0" xfId="0" applyNumberFormat="1" applyFont="1"/>
    <xf numFmtId="37" fontId="4" fillId="3" borderId="6" xfId="0" applyNumberFormat="1" applyFont="1" applyFill="1" applyBorder="1"/>
    <xf numFmtId="10" fontId="4" fillId="3" borderId="0" xfId="0" applyNumberFormat="1" applyFont="1" applyFill="1"/>
    <xf numFmtId="171" fontId="4" fillId="4" borderId="0" xfId="0" applyNumberFormat="1" applyFont="1" applyFill="1"/>
    <xf numFmtId="37" fontId="10" fillId="3" borderId="0" xfId="0" applyNumberFormat="1" applyFont="1" applyFill="1"/>
    <xf numFmtId="172" fontId="4" fillId="4" borderId="0" xfId="0" applyNumberFormat="1" applyFont="1" applyFill="1"/>
    <xf numFmtId="39" fontId="0" fillId="0" borderId="0" xfId="0" applyNumberFormat="1"/>
    <xf numFmtId="4" fontId="0" fillId="0" borderId="0" xfId="0" applyNumberFormat="1"/>
    <xf numFmtId="2" fontId="4" fillId="3" borderId="0" xfId="0" applyNumberFormat="1" applyFont="1" applyFill="1"/>
    <xf numFmtId="173" fontId="1" fillId="0" borderId="0" xfId="0" applyNumberFormat="1" applyFont="1"/>
    <xf numFmtId="0" fontId="1" fillId="0" borderId="5" xfId="0" applyFont="1" applyBorder="1"/>
    <xf numFmtId="0" fontId="0" fillId="0" borderId="5" xfId="0" applyBorder="1"/>
    <xf numFmtId="9" fontId="5" fillId="0" borderId="0" xfId="0" applyNumberFormat="1" applyFont="1"/>
    <xf numFmtId="174" fontId="5" fillId="0" borderId="0" xfId="0" applyNumberFormat="1" applyFont="1"/>
    <xf numFmtId="173" fontId="7" fillId="0" borderId="0" xfId="0" applyNumberFormat="1" applyFont="1"/>
    <xf numFmtId="0" fontId="1" fillId="0" borderId="7" xfId="0" applyFont="1" applyBorder="1" applyAlignment="1">
      <alignment horizontal="centerContinuous"/>
    </xf>
    <xf numFmtId="37" fontId="0" fillId="3" borderId="0" xfId="0" applyNumberFormat="1" applyFill="1"/>
    <xf numFmtId="37" fontId="0" fillId="3" borderId="6" xfId="0" applyNumberFormat="1" applyFill="1" applyBorder="1"/>
    <xf numFmtId="37" fontId="1" fillId="3" borderId="0" xfId="0" applyNumberFormat="1" applyFont="1" applyFill="1"/>
    <xf numFmtId="170" fontId="3" fillId="3" borderId="0" xfId="0" applyNumberFormat="1" applyFont="1" applyFill="1"/>
    <xf numFmtId="169" fontId="4" fillId="3" borderId="0" xfId="0" applyNumberFormat="1" applyFont="1" applyFill="1"/>
    <xf numFmtId="170" fontId="3" fillId="0" borderId="0" xfId="0" applyNumberFormat="1" applyFont="1"/>
    <xf numFmtId="165" fontId="0" fillId="0" borderId="0" xfId="0" applyNumberFormat="1"/>
    <xf numFmtId="170" fontId="3" fillId="0" borderId="4" xfId="0" applyNumberFormat="1" applyFont="1" applyBorder="1"/>
    <xf numFmtId="37" fontId="3" fillId="3" borderId="0" xfId="0" applyNumberFormat="1" applyFont="1" applyFill="1"/>
    <xf numFmtId="37" fontId="3" fillId="3" borderId="7" xfId="0" applyNumberFormat="1" applyFont="1" applyFill="1" applyBorder="1"/>
    <xf numFmtId="37" fontId="3" fillId="3" borderId="6" xfId="0" applyNumberFormat="1" applyFont="1" applyFill="1" applyBorder="1"/>
    <xf numFmtId="0" fontId="0" fillId="0" borderId="0" xfId="0" quotePrefix="1" applyAlignment="1">
      <alignment horizontal="left" indent="1"/>
    </xf>
    <xf numFmtId="0" fontId="0" fillId="0" borderId="6" xfId="0" quotePrefix="1" applyBorder="1" applyAlignment="1">
      <alignment horizontal="left" indent="1"/>
    </xf>
    <xf numFmtId="37" fontId="4" fillId="0" borderId="6" xfId="0" applyNumberFormat="1" applyFont="1" applyBorder="1"/>
    <xf numFmtId="0" fontId="1" fillId="0" borderId="0" xfId="0" applyFont="1" applyAlignment="1">
      <alignment horizontal="left" indent="1"/>
    </xf>
    <xf numFmtId="170" fontId="0" fillId="0" borderId="0" xfId="0" applyNumberFormat="1"/>
    <xf numFmtId="0" fontId="1" fillId="0" borderId="4" xfId="0" applyFont="1" applyBorder="1" applyAlignment="1">
      <alignment horizontal="left"/>
    </xf>
    <xf numFmtId="170" fontId="0" fillId="0" borderId="4" xfId="0" applyNumberFormat="1" applyBorder="1"/>
    <xf numFmtId="169" fontId="0" fillId="0" borderId="0" xfId="0" applyNumberFormat="1"/>
    <xf numFmtId="37" fontId="1" fillId="0" borderId="4" xfId="0" applyNumberFormat="1" applyFont="1" applyBorder="1"/>
    <xf numFmtId="0" fontId="0" fillId="0" borderId="6" xfId="0" applyBorder="1" applyAlignment="1">
      <alignment horizontal="left" indent="1"/>
    </xf>
    <xf numFmtId="0" fontId="0" fillId="0" borderId="6" xfId="0" applyBorder="1"/>
    <xf numFmtId="37" fontId="1" fillId="0" borderId="4" xfId="0" applyNumberFormat="1" applyFont="1" applyBorder="1" applyAlignment="1">
      <alignment horizontal="left"/>
    </xf>
    <xf numFmtId="167" fontId="4" fillId="0" borderId="0" xfId="0" applyNumberFormat="1" applyFont="1" applyAlignment="1">
      <alignment horizontal="center"/>
    </xf>
    <xf numFmtId="37" fontId="0" fillId="6" borderId="0" xfId="0" applyNumberFormat="1" applyFill="1"/>
    <xf numFmtId="37" fontId="0" fillId="6" borderId="6" xfId="0" applyNumberFormat="1" applyFill="1" applyBorder="1"/>
    <xf numFmtId="37" fontId="1" fillId="6" borderId="0" xfId="0" applyNumberFormat="1" applyFont="1" applyFill="1"/>
    <xf numFmtId="37" fontId="0" fillId="0" borderId="6" xfId="0" applyNumberFormat="1" applyBorder="1"/>
    <xf numFmtId="37" fontId="1" fillId="0" borderId="6" xfId="0" applyNumberFormat="1" applyFont="1" applyBorder="1"/>
    <xf numFmtId="0" fontId="11" fillId="0" borderId="8" xfId="0" applyFont="1" applyBorder="1" applyAlignment="1">
      <alignment horizontal="left" indent="2"/>
    </xf>
    <xf numFmtId="37" fontId="0" fillId="0" borderId="9" xfId="0" applyNumberFormat="1" applyBorder="1"/>
    <xf numFmtId="0" fontId="0" fillId="0" borderId="9" xfId="0" applyBorder="1"/>
    <xf numFmtId="37" fontId="12" fillId="0" borderId="9" xfId="0" applyNumberFormat="1" applyFont="1" applyBorder="1" applyAlignment="1">
      <alignment horizontal="right"/>
    </xf>
    <xf numFmtId="37" fontId="12" fillId="0" borderId="10" xfId="0" applyNumberFormat="1" applyFont="1" applyBorder="1" applyAlignment="1">
      <alignment horizontal="right"/>
    </xf>
    <xf numFmtId="0" fontId="11" fillId="0" borderId="0" xfId="0" applyFont="1" applyAlignment="1">
      <alignment horizontal="center"/>
    </xf>
    <xf numFmtId="37" fontId="12" fillId="0" borderId="0" xfId="0" applyNumberFormat="1" applyFont="1" applyAlignment="1">
      <alignment horizontal="right"/>
    </xf>
    <xf numFmtId="9" fontId="4" fillId="0" borderId="4" xfId="0" applyNumberFormat="1" applyFont="1" applyBorder="1"/>
    <xf numFmtId="3" fontId="13" fillId="0" borderId="0" xfId="0" applyNumberFormat="1" applyFont="1"/>
    <xf numFmtId="37" fontId="0" fillId="0" borderId="7" xfId="0" applyNumberFormat="1" applyBorder="1"/>
    <xf numFmtId="0" fontId="8" fillId="0" borderId="0" xfId="0" applyFont="1" applyAlignment="1">
      <alignment horizontal="left" indent="1"/>
    </xf>
    <xf numFmtId="0" fontId="14" fillId="0" borderId="0" xfId="0" applyFont="1" applyAlignment="1">
      <alignment horizontal="left"/>
    </xf>
    <xf numFmtId="175" fontId="4" fillId="0" borderId="0" xfId="0" applyNumberFormat="1" applyFont="1"/>
    <xf numFmtId="176" fontId="15" fillId="6" borderId="0" xfId="0" applyNumberFormat="1" applyFont="1" applyFill="1"/>
    <xf numFmtId="0" fontId="7" fillId="0" borderId="11" xfId="0" applyFont="1" applyBorder="1" applyAlignment="1">
      <alignment horizontal="left" indent="1"/>
    </xf>
    <xf numFmtId="37" fontId="7" fillId="6" borderId="11" xfId="0" applyNumberFormat="1" applyFont="1" applyFill="1" applyBorder="1"/>
    <xf numFmtId="0" fontId="0" fillId="0" borderId="0" xfId="0" applyAlignment="1">
      <alignment horizontal="left" indent="2"/>
    </xf>
    <xf numFmtId="169" fontId="15" fillId="6" borderId="0" xfId="0" applyNumberFormat="1" applyFont="1" applyFill="1"/>
    <xf numFmtId="37" fontId="7" fillId="6" borderId="0" xfId="0" applyNumberFormat="1" applyFont="1" applyFill="1"/>
    <xf numFmtId="10" fontId="4" fillId="0" borderId="0" xfId="0" applyNumberFormat="1" applyFont="1"/>
    <xf numFmtId="176" fontId="3" fillId="7" borderId="0" xfId="0" applyNumberFormat="1" applyFont="1" applyFill="1"/>
    <xf numFmtId="37" fontId="3" fillId="7" borderId="0" xfId="0" applyNumberFormat="1" applyFont="1" applyFill="1"/>
    <xf numFmtId="37" fontId="3" fillId="0" borderId="0" xfId="0" applyNumberFormat="1" applyFont="1" applyAlignment="1">
      <alignment horizontal="left"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3" fontId="1" fillId="0" borderId="0" xfId="0" applyNumberFormat="1" applyFont="1" applyAlignment="1">
      <alignment vertical="center" wrapText="1"/>
    </xf>
    <xf numFmtId="9" fontId="1" fillId="0" borderId="0" xfId="0" applyNumberFormat="1" applyFont="1" applyAlignment="1">
      <alignment vertical="center" wrapText="1"/>
    </xf>
  </cellXfs>
  <cellStyles count="1">
    <cellStyle name="Normal" xfId="0" builtinId="0"/>
  </cellStyles>
  <dxfs count="2">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201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2E81-102A-4CBE-9ABB-ED71595F9526}">
  <dimension ref="A1:I99"/>
  <sheetViews>
    <sheetView topLeftCell="A3" zoomScale="96" zoomScaleNormal="96" workbookViewId="0">
      <selection activeCell="D17" sqref="D17"/>
    </sheetView>
  </sheetViews>
  <sheetFormatPr defaultRowHeight="15" x14ac:dyDescent="0.25"/>
  <cols>
    <col min="1" max="1" width="65.140625" customWidth="1"/>
    <col min="2" max="2" width="19.42578125" customWidth="1"/>
    <col min="3" max="4" width="11.42578125" customWidth="1"/>
    <col min="5" max="5" width="13.28515625" customWidth="1"/>
    <col min="6" max="6" width="11.42578125" customWidth="1"/>
    <col min="7" max="7" width="26.140625" bestFit="1" customWidth="1"/>
    <col min="8" max="8" width="10.28515625" bestFit="1" customWidth="1"/>
    <col min="9" max="9" width="19.5703125" bestFit="1" customWidth="1"/>
  </cols>
  <sheetData>
    <row r="1" spans="1:9" ht="15.75" thickBot="1" x14ac:dyDescent="0.3">
      <c r="A1" s="1" t="str">
        <f>"Financial Statement Model for "&amp;B4</f>
        <v>Financial Statement Model for TRENT LTD</v>
      </c>
      <c r="B1" s="2"/>
      <c r="C1" s="2"/>
      <c r="D1" s="2"/>
      <c r="F1" s="3"/>
    </row>
    <row r="2" spans="1:9" x14ac:dyDescent="0.25">
      <c r="A2" s="4" t="s">
        <v>0</v>
      </c>
      <c r="B2" s="5"/>
      <c r="C2" s="5"/>
      <c r="D2" s="5"/>
    </row>
    <row r="4" spans="1:9" x14ac:dyDescent="0.25">
      <c r="A4" s="6" t="s">
        <v>1</v>
      </c>
      <c r="B4" s="7" t="s">
        <v>71</v>
      </c>
    </row>
    <row r="5" spans="1:9" x14ac:dyDescent="0.25">
      <c r="A5" s="6" t="s">
        <v>2</v>
      </c>
      <c r="B5" s="7" t="s">
        <v>72</v>
      </c>
    </row>
    <row r="6" spans="1:9" x14ac:dyDescent="0.25">
      <c r="A6" t="s">
        <v>3</v>
      </c>
      <c r="B6" s="8">
        <v>1</v>
      </c>
    </row>
    <row r="7" spans="1:9" x14ac:dyDescent="0.25">
      <c r="A7" t="s">
        <v>4</v>
      </c>
      <c r="B7" s="9">
        <v>171.25</v>
      </c>
    </row>
    <row r="8" spans="1:9" x14ac:dyDescent="0.25">
      <c r="A8" t="s">
        <v>5</v>
      </c>
      <c r="B8" s="10">
        <v>43500</v>
      </c>
    </row>
    <row r="9" spans="1:9" x14ac:dyDescent="0.25">
      <c r="A9" s="6" t="s">
        <v>6</v>
      </c>
      <c r="B9" s="11">
        <v>45747</v>
      </c>
    </row>
    <row r="10" spans="1:9" x14ac:dyDescent="0.25">
      <c r="A10" t="s">
        <v>74</v>
      </c>
      <c r="B10" s="12">
        <f>355487461/10000000</f>
        <v>35.548746100000002</v>
      </c>
    </row>
    <row r="11" spans="1:9" x14ac:dyDescent="0.25">
      <c r="I11" s="13"/>
    </row>
    <row r="12" spans="1:9" x14ac:dyDescent="0.25">
      <c r="A12" s="14" t="s">
        <v>7</v>
      </c>
      <c r="B12" s="15"/>
      <c r="C12" s="15"/>
      <c r="D12" s="15"/>
      <c r="I12" s="13"/>
    </row>
    <row r="13" spans="1:9" x14ac:dyDescent="0.25">
      <c r="A13" t="s">
        <v>8</v>
      </c>
      <c r="B13" s="16">
        <f>C13-1</f>
        <v>2023</v>
      </c>
      <c r="C13" s="16">
        <f>D13-1</f>
        <v>2024</v>
      </c>
      <c r="D13" s="16">
        <f>YEAR(B9)</f>
        <v>2025</v>
      </c>
      <c r="E13" s="16"/>
      <c r="I13" s="6"/>
    </row>
    <row r="14" spans="1:9" x14ac:dyDescent="0.25">
      <c r="A14" s="17" t="s">
        <v>9</v>
      </c>
      <c r="B14" s="18">
        <f>EOMONTH(C14,-12)</f>
        <v>45016</v>
      </c>
      <c r="C14" s="18">
        <f>EOMONTH(D14,-12)</f>
        <v>45382</v>
      </c>
      <c r="D14" s="18">
        <f>B9</f>
        <v>45747</v>
      </c>
      <c r="E14" s="18"/>
      <c r="I14" s="19"/>
    </row>
    <row r="15" spans="1:9" x14ac:dyDescent="0.25">
      <c r="A15" s="49">
        <v>-1</v>
      </c>
      <c r="B15" s="21"/>
      <c r="C15" s="22"/>
      <c r="D15" s="22"/>
    </row>
    <row r="16" spans="1:9" x14ac:dyDescent="0.25">
      <c r="A16" t="s">
        <v>10</v>
      </c>
      <c r="B16" s="23"/>
      <c r="C16" s="23">
        <v>12375.11</v>
      </c>
      <c r="D16" s="23">
        <v>17134.61</v>
      </c>
    </row>
    <row r="17" spans="1:6" x14ac:dyDescent="0.25">
      <c r="A17" t="s">
        <v>11</v>
      </c>
      <c r="B17" s="24"/>
      <c r="C17" s="49">
        <f>(7123.6-164.71+1036.64+671.11)*-1</f>
        <v>-8666.6400000000012</v>
      </c>
      <c r="D17" s="49">
        <f>(10143.39-454.25+1308.45+895.18)*-1</f>
        <v>-11892.77</v>
      </c>
    </row>
    <row r="18" spans="1:6" x14ac:dyDescent="0.25">
      <c r="A18" s="25" t="s">
        <v>12</v>
      </c>
      <c r="B18" s="26"/>
      <c r="C18" s="26">
        <f>SUM(C16+C17)</f>
        <v>3708.4699999999993</v>
      </c>
      <c r="D18" s="26">
        <f>SUM(D16+D17)</f>
        <v>5241.84</v>
      </c>
    </row>
    <row r="19" spans="1:6" x14ac:dyDescent="0.25">
      <c r="A19" t="s">
        <v>13</v>
      </c>
      <c r="B19" s="24"/>
      <c r="C19" s="24"/>
      <c r="D19" s="24"/>
    </row>
    <row r="20" spans="1:6" x14ac:dyDescent="0.25">
      <c r="A20" t="s">
        <v>14</v>
      </c>
      <c r="B20" s="24"/>
      <c r="C20" s="24"/>
      <c r="D20" s="24"/>
    </row>
    <row r="21" spans="1:6" x14ac:dyDescent="0.25">
      <c r="A21" s="25" t="s">
        <v>15</v>
      </c>
      <c r="B21" s="27"/>
      <c r="C21" s="26">
        <v>3708.4699999999993</v>
      </c>
      <c r="D21" s="27">
        <v>5241.84</v>
      </c>
    </row>
    <row r="22" spans="1:6" x14ac:dyDescent="0.25">
      <c r="A22" t="s">
        <v>16</v>
      </c>
      <c r="B22" s="27"/>
      <c r="C22" s="50">
        <f>1.66+0.72+1.58 +14.6 +1.4</f>
        <v>19.959999999999997</v>
      </c>
      <c r="D22" s="50">
        <f>2.16+4.59+2.76+21.26 + 0.38</f>
        <v>31.150000000000002</v>
      </c>
    </row>
    <row r="23" spans="1:6" x14ac:dyDescent="0.25">
      <c r="A23" t="s">
        <v>17</v>
      </c>
      <c r="B23" s="23"/>
      <c r="C23" s="49">
        <v>-319.10000000000002</v>
      </c>
      <c r="D23" s="49">
        <v>-138.59</v>
      </c>
    </row>
    <row r="24" spans="1:6" x14ac:dyDescent="0.25">
      <c r="A24" t="s">
        <v>73</v>
      </c>
      <c r="B24" s="23"/>
      <c r="C24" s="23">
        <f>289.27-C22</f>
        <v>269.31</v>
      </c>
      <c r="D24" s="23">
        <f>218.56-D22</f>
        <v>187.41</v>
      </c>
    </row>
    <row r="25" spans="1:6" x14ac:dyDescent="0.25">
      <c r="A25" t="s">
        <v>18</v>
      </c>
      <c r="B25" s="23"/>
      <c r="C25" s="49">
        <v>-2457.4499999999998</v>
      </c>
      <c r="D25" s="49">
        <v>-3378.57</v>
      </c>
    </row>
    <row r="26" spans="1:6" x14ac:dyDescent="0.25">
      <c r="A26" t="s">
        <v>75</v>
      </c>
      <c r="B26" s="23"/>
      <c r="C26" s="51">
        <v>576.07000000000005</v>
      </c>
      <c r="D26" s="51"/>
    </row>
    <row r="27" spans="1:6" x14ac:dyDescent="0.25">
      <c r="A27" t="s">
        <v>76</v>
      </c>
      <c r="B27" s="23"/>
      <c r="C27" s="51">
        <v>123.57</v>
      </c>
      <c r="D27" s="51">
        <v>86.5</v>
      </c>
    </row>
    <row r="28" spans="1:6" x14ac:dyDescent="0.25">
      <c r="A28" s="25" t="s">
        <v>19</v>
      </c>
      <c r="B28" s="27"/>
      <c r="C28" s="27">
        <f>SUM(C21:C27)</f>
        <v>1920.8299999999997</v>
      </c>
      <c r="D28" s="27">
        <f>SUM(D21:D27)</f>
        <v>2029.7399999999993</v>
      </c>
    </row>
    <row r="29" spans="1:6" x14ac:dyDescent="0.25">
      <c r="A29" t="s">
        <v>20</v>
      </c>
      <c r="B29" s="23"/>
      <c r="C29" s="49">
        <v>-443.37</v>
      </c>
      <c r="D29" s="49">
        <v>-495.33</v>
      </c>
    </row>
    <row r="30" spans="1:6" x14ac:dyDescent="0.25">
      <c r="A30" s="25" t="s">
        <v>21</v>
      </c>
      <c r="B30" s="27"/>
      <c r="C30" s="27">
        <f>SUM(C28+C29)</f>
        <v>1477.4599999999996</v>
      </c>
      <c r="D30" s="27">
        <f>SUM(D28+D29)</f>
        <v>1534.4099999999994</v>
      </c>
      <c r="F30" s="25"/>
    </row>
    <row r="31" spans="1:6" x14ac:dyDescent="0.25">
      <c r="A31" s="28"/>
    </row>
    <row r="32" spans="1:6" x14ac:dyDescent="0.25">
      <c r="A32" s="29" t="s">
        <v>22</v>
      </c>
      <c r="B32" s="23"/>
      <c r="C32" s="23">
        <v>671.11</v>
      </c>
      <c r="D32" s="23">
        <v>895.18</v>
      </c>
      <c r="F32" t="s">
        <v>23</v>
      </c>
    </row>
    <row r="33" spans="1:9" x14ac:dyDescent="0.25">
      <c r="A33" s="30" t="s">
        <v>24</v>
      </c>
      <c r="B33" s="27"/>
      <c r="C33" s="27">
        <f>C30+C32</f>
        <v>2148.5699999999997</v>
      </c>
      <c r="D33" s="27">
        <f>D30+D32</f>
        <v>2429.5899999999992</v>
      </c>
      <c r="F33" s="25" t="s">
        <v>25</v>
      </c>
    </row>
    <row r="34" spans="1:9" x14ac:dyDescent="0.25">
      <c r="A34" s="29" t="s">
        <v>26</v>
      </c>
      <c r="B34" s="23"/>
      <c r="C34" s="23"/>
      <c r="D34" s="23"/>
      <c r="F34" t="s">
        <v>23</v>
      </c>
    </row>
    <row r="35" spans="1:9" x14ac:dyDescent="0.25">
      <c r="A35" s="30" t="s">
        <v>27</v>
      </c>
      <c r="B35" s="27"/>
      <c r="C35" s="27">
        <v>2148.5699999999997</v>
      </c>
      <c r="D35" s="27">
        <v>2429.5899999999992</v>
      </c>
      <c r="F35" s="25" t="s">
        <v>28</v>
      </c>
    </row>
    <row r="36" spans="1:9" x14ac:dyDescent="0.25">
      <c r="A36" s="28"/>
    </row>
    <row r="37" spans="1:9" x14ac:dyDescent="0.25">
      <c r="A37" s="31" t="s">
        <v>29</v>
      </c>
    </row>
    <row r="38" spans="1:9" x14ac:dyDescent="0.25">
      <c r="A38" s="28" t="s">
        <v>30</v>
      </c>
      <c r="B38" s="32"/>
      <c r="C38" s="33"/>
      <c r="D38" s="33">
        <f>D16/C16-1</f>
        <v>0.38460264191591031</v>
      </c>
      <c r="E38" s="34"/>
      <c r="F38" t="s">
        <v>31</v>
      </c>
      <c r="H38" s="34"/>
      <c r="I38" s="34"/>
    </row>
    <row r="39" spans="1:9" x14ac:dyDescent="0.25">
      <c r="A39" s="28" t="s">
        <v>32</v>
      </c>
      <c r="B39" s="33"/>
      <c r="C39" s="33">
        <f>C18/C16</f>
        <v>0.2996716796860795</v>
      </c>
      <c r="D39" s="33">
        <f>D18/D16</f>
        <v>0.30592117357792209</v>
      </c>
      <c r="E39" s="34"/>
      <c r="F39" t="s">
        <v>33</v>
      </c>
      <c r="H39" s="34"/>
      <c r="I39" s="34"/>
    </row>
    <row r="40" spans="1:9" x14ac:dyDescent="0.25">
      <c r="A40" s="28" t="s">
        <v>34</v>
      </c>
      <c r="B40" s="33"/>
      <c r="C40" s="33"/>
      <c r="D40" s="33"/>
      <c r="E40" s="34"/>
      <c r="F40" t="s">
        <v>35</v>
      </c>
      <c r="H40" s="34"/>
      <c r="I40" s="34"/>
    </row>
    <row r="41" spans="1:9" x14ac:dyDescent="0.25">
      <c r="A41" s="28" t="s">
        <v>36</v>
      </c>
      <c r="B41" s="33"/>
      <c r="C41" s="33">
        <f>C17/C16</f>
        <v>-0.70032832031392056</v>
      </c>
      <c r="D41" s="33">
        <f>D17/D16</f>
        <v>-0.69407882642207785</v>
      </c>
      <c r="E41" s="34"/>
      <c r="F41" t="s">
        <v>37</v>
      </c>
      <c r="H41" s="34"/>
      <c r="I41" s="34"/>
    </row>
    <row r="42" spans="1:9" x14ac:dyDescent="0.25">
      <c r="A42" s="28" t="s">
        <v>38</v>
      </c>
      <c r="B42" s="33"/>
      <c r="C42" s="33">
        <f>C29/C28</f>
        <v>-0.2308220925329155</v>
      </c>
      <c r="D42" s="33">
        <f>D29/D28</f>
        <v>-0.244036181974046</v>
      </c>
      <c r="E42" s="34"/>
      <c r="F42" t="s">
        <v>39</v>
      </c>
      <c r="H42" s="34"/>
      <c r="I42" s="34"/>
    </row>
    <row r="43" spans="1:9" x14ac:dyDescent="0.25">
      <c r="A43" s="28"/>
    </row>
    <row r="44" spans="1:9" x14ac:dyDescent="0.25">
      <c r="A44" s="14" t="s">
        <v>40</v>
      </c>
      <c r="B44" s="35"/>
      <c r="C44" s="35"/>
      <c r="D44" s="35"/>
    </row>
    <row r="45" spans="1:9" x14ac:dyDescent="0.25">
      <c r="A45" s="36" t="str">
        <f>A13</f>
        <v xml:space="preserve">Fiscal year  </v>
      </c>
      <c r="B45" s="37"/>
      <c r="C45" s="37">
        <f>C13</f>
        <v>2024</v>
      </c>
      <c r="D45" s="37">
        <f>D13</f>
        <v>2025</v>
      </c>
    </row>
    <row r="46" spans="1:9" x14ac:dyDescent="0.25">
      <c r="A46" s="15" t="str">
        <f>A14</f>
        <v>Fiscal year end date</v>
      </c>
      <c r="B46" s="38"/>
      <c r="C46" s="38">
        <f>C14</f>
        <v>45382</v>
      </c>
      <c r="D46" s="38">
        <f>D14</f>
        <v>45747</v>
      </c>
    </row>
    <row r="47" spans="1:9" x14ac:dyDescent="0.25">
      <c r="A47" t="s">
        <v>41</v>
      </c>
      <c r="B47" s="39"/>
      <c r="C47" s="23">
        <f>294.55+3.01</f>
        <v>297.56</v>
      </c>
      <c r="D47" s="23">
        <f>338.47+1.37</f>
        <v>339.84000000000003</v>
      </c>
    </row>
    <row r="48" spans="1:9" x14ac:dyDescent="0.25">
      <c r="A48" t="s">
        <v>83</v>
      </c>
      <c r="B48" s="39"/>
      <c r="C48" s="23">
        <v>26.91</v>
      </c>
      <c r="D48" s="23">
        <v>26.86</v>
      </c>
    </row>
    <row r="49" spans="1:4" x14ac:dyDescent="0.25">
      <c r="A49" t="s">
        <v>42</v>
      </c>
      <c r="B49" s="39"/>
      <c r="C49" s="23">
        <v>81.739999999999995</v>
      </c>
      <c r="D49" s="23">
        <v>62.95</v>
      </c>
    </row>
    <row r="50" spans="1:4" x14ac:dyDescent="0.25">
      <c r="A50" t="s">
        <v>43</v>
      </c>
      <c r="B50" s="39"/>
      <c r="C50" s="23">
        <v>1582.73</v>
      </c>
      <c r="D50" s="23">
        <v>2045.05</v>
      </c>
    </row>
    <row r="51" spans="1:4" x14ac:dyDescent="0.25">
      <c r="A51" t="s">
        <v>44</v>
      </c>
      <c r="B51" s="39"/>
      <c r="C51" s="23">
        <f>253.63+4+13.12</f>
        <v>270.75</v>
      </c>
      <c r="D51" s="23">
        <f>402.61+9.14+2.36</f>
        <v>414.11</v>
      </c>
    </row>
    <row r="52" spans="1:4" x14ac:dyDescent="0.25">
      <c r="A52" t="s">
        <v>84</v>
      </c>
      <c r="B52" s="39"/>
      <c r="C52" s="23">
        <v>0</v>
      </c>
      <c r="D52" s="23">
        <v>0</v>
      </c>
    </row>
    <row r="53" spans="1:4" x14ac:dyDescent="0.25">
      <c r="A53" t="s">
        <v>85</v>
      </c>
      <c r="B53" s="39"/>
      <c r="C53" s="23">
        <v>719.77</v>
      </c>
      <c r="D53" s="23">
        <v>634.69000000000005</v>
      </c>
    </row>
    <row r="54" spans="1:4" x14ac:dyDescent="0.25">
      <c r="A54" t="s">
        <v>86</v>
      </c>
      <c r="B54" s="39"/>
      <c r="C54" s="23">
        <f>15+2.08</f>
        <v>17.079999999999998</v>
      </c>
      <c r="D54" s="23">
        <f>15+2.97</f>
        <v>17.97</v>
      </c>
    </row>
    <row r="55" spans="1:4" x14ac:dyDescent="0.25">
      <c r="A55" t="s">
        <v>90</v>
      </c>
      <c r="B55" s="39"/>
      <c r="C55" s="23">
        <v>140.22</v>
      </c>
      <c r="D55" s="23">
        <v>158.84</v>
      </c>
    </row>
    <row r="56" spans="1:4" x14ac:dyDescent="0.25">
      <c r="A56" t="s">
        <v>87</v>
      </c>
      <c r="B56" s="39"/>
      <c r="C56" s="23">
        <v>696.26</v>
      </c>
      <c r="D56" s="23">
        <f>845.56</f>
        <v>845.56</v>
      </c>
    </row>
    <row r="57" spans="1:4" x14ac:dyDescent="0.25">
      <c r="A57" t="s">
        <v>88</v>
      </c>
      <c r="B57" s="39"/>
      <c r="C57" s="23">
        <f>1.66</f>
        <v>1.66</v>
      </c>
      <c r="D57" s="23">
        <f>1.35</f>
        <v>1.35</v>
      </c>
    </row>
    <row r="58" spans="1:4" x14ac:dyDescent="0.25">
      <c r="A58" t="s">
        <v>89</v>
      </c>
      <c r="B58" s="39"/>
      <c r="C58" s="23">
        <v>447.7</v>
      </c>
      <c r="D58" s="23">
        <v>616.75</v>
      </c>
    </row>
    <row r="59" spans="1:4" x14ac:dyDescent="0.25">
      <c r="A59" t="s">
        <v>45</v>
      </c>
      <c r="B59" s="39"/>
      <c r="C59" s="23">
        <v>1146.32</v>
      </c>
      <c r="D59" s="23">
        <v>2068.2399999999998</v>
      </c>
    </row>
    <row r="60" spans="1:4" x14ac:dyDescent="0.25">
      <c r="A60" t="s">
        <v>77</v>
      </c>
      <c r="B60" s="39"/>
      <c r="C60" s="23">
        <v>223.78</v>
      </c>
      <c r="D60" s="23">
        <v>179.5</v>
      </c>
    </row>
    <row r="61" spans="1:4" x14ac:dyDescent="0.25">
      <c r="A61" t="s">
        <v>78</v>
      </c>
      <c r="B61" s="39"/>
      <c r="C61" s="23">
        <v>1202.1300000000001</v>
      </c>
      <c r="D61" s="23">
        <v>1726.75</v>
      </c>
    </row>
    <row r="62" spans="1:4" x14ac:dyDescent="0.25">
      <c r="A62" t="s">
        <v>80</v>
      </c>
      <c r="B62" s="39"/>
      <c r="C62" s="23">
        <v>0</v>
      </c>
      <c r="D62" s="23">
        <v>0</v>
      </c>
    </row>
    <row r="63" spans="1:4" x14ac:dyDescent="0.25">
      <c r="A63" t="s">
        <v>81</v>
      </c>
      <c r="B63" s="39"/>
      <c r="C63" s="23">
        <v>47.37</v>
      </c>
      <c r="D63" s="23">
        <v>46.09</v>
      </c>
    </row>
    <row r="64" spans="1:4" x14ac:dyDescent="0.25">
      <c r="A64" t="s">
        <v>82</v>
      </c>
      <c r="B64" s="39"/>
      <c r="C64" s="23">
        <v>27.19</v>
      </c>
      <c r="D64" s="23">
        <v>27.19</v>
      </c>
    </row>
    <row r="65" spans="1:8" x14ac:dyDescent="0.25">
      <c r="A65" t="s">
        <v>79</v>
      </c>
      <c r="B65" s="39"/>
      <c r="C65" s="23">
        <v>54.43</v>
      </c>
      <c r="D65" s="23">
        <v>43.47</v>
      </c>
    </row>
    <row r="66" spans="1:8" x14ac:dyDescent="0.25">
      <c r="A66" t="s">
        <v>46</v>
      </c>
      <c r="B66" s="39"/>
      <c r="C66" s="23">
        <v>178.15</v>
      </c>
      <c r="D66" s="23">
        <v>164.43</v>
      </c>
      <c r="F66" s="40"/>
    </row>
    <row r="67" spans="1:8" x14ac:dyDescent="0.25">
      <c r="A67" s="30" t="s">
        <v>47</v>
      </c>
      <c r="B67" s="41"/>
      <c r="C67" s="27"/>
      <c r="D67" s="27"/>
      <c r="G67" s="40"/>
      <c r="H67" s="40"/>
    </row>
    <row r="68" spans="1:8" x14ac:dyDescent="0.25">
      <c r="A68" s="29"/>
      <c r="B68" s="42"/>
      <c r="C68" s="42">
        <f>SUM(C47:C66)</f>
        <v>7161.7499999999982</v>
      </c>
      <c r="D68" s="42">
        <f>SUM(D47:D66)</f>
        <v>9419.64</v>
      </c>
      <c r="E68" s="52"/>
      <c r="G68" s="40"/>
      <c r="H68" s="40"/>
    </row>
    <row r="69" spans="1:8" x14ac:dyDescent="0.25">
      <c r="A69" s="29" t="s">
        <v>48</v>
      </c>
      <c r="B69" s="39"/>
      <c r="C69" s="23">
        <f>34.21+739.7</f>
        <v>773.91000000000008</v>
      </c>
      <c r="D69" s="23">
        <f>31.25+896.94</f>
        <v>928.19</v>
      </c>
      <c r="G69" s="40"/>
      <c r="H69" s="40"/>
    </row>
    <row r="70" spans="1:8" x14ac:dyDescent="0.25">
      <c r="A70" s="29" t="s">
        <v>96</v>
      </c>
      <c r="B70" s="39"/>
      <c r="C70" s="23">
        <v>18.71</v>
      </c>
      <c r="D70" s="23">
        <v>27</v>
      </c>
      <c r="G70" s="40"/>
      <c r="H70" s="40"/>
    </row>
    <row r="71" spans="1:8" x14ac:dyDescent="0.25">
      <c r="A71" s="29" t="s">
        <v>49</v>
      </c>
      <c r="B71" s="39"/>
      <c r="C71" s="23">
        <f>150.05+29.95</f>
        <v>180</v>
      </c>
      <c r="D71" s="23">
        <f>172.68+3.72</f>
        <v>176.4</v>
      </c>
      <c r="G71" s="40"/>
      <c r="H71" s="40"/>
    </row>
    <row r="72" spans="1:8" x14ac:dyDescent="0.25">
      <c r="A72" s="29" t="s">
        <v>50</v>
      </c>
      <c r="B72" s="39"/>
      <c r="C72" s="23">
        <v>0</v>
      </c>
      <c r="D72" s="23">
        <v>0</v>
      </c>
      <c r="G72" s="40"/>
      <c r="H72" s="40"/>
    </row>
    <row r="73" spans="1:8" x14ac:dyDescent="0.25">
      <c r="A73" s="29" t="s">
        <v>51</v>
      </c>
      <c r="B73" s="39"/>
      <c r="C73" s="23">
        <v>0</v>
      </c>
      <c r="D73" s="23">
        <v>0</v>
      </c>
      <c r="G73" s="40"/>
      <c r="H73" s="40"/>
    </row>
    <row r="74" spans="1:8" x14ac:dyDescent="0.25">
      <c r="A74" s="29" t="s">
        <v>52</v>
      </c>
      <c r="B74" s="39"/>
      <c r="C74" s="23">
        <v>498.56</v>
      </c>
      <c r="D74" s="23">
        <v>499.2</v>
      </c>
    </row>
    <row r="75" spans="1:8" x14ac:dyDescent="0.25">
      <c r="A75" t="s">
        <v>94</v>
      </c>
      <c r="B75" s="39"/>
      <c r="C75" s="23">
        <f>845.2+409.23</f>
        <v>1254.43</v>
      </c>
      <c r="D75" s="23">
        <f>1101.8+636.19</f>
        <v>1737.99</v>
      </c>
    </row>
    <row r="76" spans="1:8" x14ac:dyDescent="0.25">
      <c r="A76" s="29" t="s">
        <v>91</v>
      </c>
      <c r="B76" s="39"/>
      <c r="C76" s="23"/>
      <c r="D76" s="23"/>
    </row>
    <row r="77" spans="1:8" x14ac:dyDescent="0.25">
      <c r="A77" s="29" t="s">
        <v>92</v>
      </c>
      <c r="B77" s="39"/>
      <c r="C77" s="23">
        <v>159.62</v>
      </c>
      <c r="D77" s="23">
        <v>242.91</v>
      </c>
    </row>
    <row r="78" spans="1:8" x14ac:dyDescent="0.25">
      <c r="A78" s="29" t="s">
        <v>97</v>
      </c>
      <c r="B78" s="39"/>
      <c r="C78" s="23">
        <v>160.04</v>
      </c>
      <c r="D78" s="23">
        <v>165.78</v>
      </c>
    </row>
    <row r="79" spans="1:8" x14ac:dyDescent="0.25">
      <c r="A79" s="29" t="s">
        <v>93</v>
      </c>
      <c r="B79" s="39"/>
      <c r="C79" s="23">
        <v>5.3</v>
      </c>
      <c r="D79" s="23">
        <v>46.47</v>
      </c>
    </row>
    <row r="80" spans="1:8" x14ac:dyDescent="0.25">
      <c r="A80" s="29" t="s">
        <v>53</v>
      </c>
      <c r="B80" s="39"/>
      <c r="C80" s="23">
        <f>8.59</f>
        <v>8.59</v>
      </c>
      <c r="D80" s="23">
        <f>12.34</f>
        <v>12.34</v>
      </c>
      <c r="G80" s="40"/>
      <c r="H80" s="40"/>
    </row>
    <row r="81" spans="1:8" x14ac:dyDescent="0.25">
      <c r="A81" s="30" t="s">
        <v>54</v>
      </c>
      <c r="B81" s="41"/>
      <c r="C81" s="27">
        <f>SUM(C69:C80)</f>
        <v>3059.1600000000003</v>
      </c>
      <c r="D81" s="27">
        <f>SUM(D69:D80)</f>
        <v>3836.28</v>
      </c>
      <c r="G81" s="40"/>
      <c r="H81" s="40"/>
    </row>
    <row r="82" spans="1:8" x14ac:dyDescent="0.25">
      <c r="A82" s="30"/>
      <c r="B82" s="41"/>
      <c r="C82" s="43"/>
      <c r="D82" s="43"/>
      <c r="G82" s="40"/>
      <c r="H82" s="40"/>
    </row>
    <row r="83" spans="1:8" x14ac:dyDescent="0.25">
      <c r="A83" s="29" t="s">
        <v>55</v>
      </c>
      <c r="B83" s="39"/>
      <c r="C83" s="23">
        <v>35.549999999999997</v>
      </c>
      <c r="D83" s="23">
        <v>35.549999999999997</v>
      </c>
      <c r="G83" s="40"/>
      <c r="H83" s="40"/>
    </row>
    <row r="84" spans="1:8" x14ac:dyDescent="0.25">
      <c r="A84" s="29" t="s">
        <v>56</v>
      </c>
      <c r="B84" s="44"/>
      <c r="C84" s="23">
        <f>1648.33-20.65+2404.51</f>
        <v>4032.19</v>
      </c>
      <c r="D84" s="23">
        <f>3049.44-29.71+2406.46</f>
        <v>5426.1900000000005</v>
      </c>
      <c r="G84" s="40"/>
      <c r="H84" s="40"/>
    </row>
    <row r="85" spans="1:8" x14ac:dyDescent="0.25">
      <c r="A85" s="29" t="s">
        <v>57</v>
      </c>
      <c r="B85" s="39"/>
      <c r="C85" s="23"/>
      <c r="D85" s="23"/>
    </row>
    <row r="86" spans="1:8" x14ac:dyDescent="0.25">
      <c r="A86" s="29" t="s">
        <v>95</v>
      </c>
      <c r="B86" s="39"/>
      <c r="C86" s="23">
        <v>34.85</v>
      </c>
      <c r="D86" s="23">
        <v>121.62</v>
      </c>
    </row>
    <row r="87" spans="1:8" x14ac:dyDescent="0.25">
      <c r="A87" s="30" t="s">
        <v>58</v>
      </c>
      <c r="B87" s="45"/>
      <c r="C87" s="27">
        <f>SUM(C83:C86)</f>
        <v>4102.59</v>
      </c>
      <c r="D87" s="27">
        <f>SUM(D83:D86)</f>
        <v>5583.3600000000006</v>
      </c>
    </row>
    <row r="88" spans="1:8" x14ac:dyDescent="0.25">
      <c r="B88" s="42"/>
      <c r="C88" s="42"/>
      <c r="D88" s="42"/>
    </row>
    <row r="89" spans="1:8" x14ac:dyDescent="0.25">
      <c r="A89" s="20" t="s">
        <v>59</v>
      </c>
      <c r="B89" s="46"/>
      <c r="C89" s="46">
        <f>ROUND(C67-C81-C87,3)</f>
        <v>-7161.75</v>
      </c>
      <c r="D89" s="46">
        <f>ROUND(D67-D81-D87,3)</f>
        <v>-9419.64</v>
      </c>
    </row>
    <row r="90" spans="1:8" x14ac:dyDescent="0.25">
      <c r="C90" s="42"/>
      <c r="D90" s="42"/>
    </row>
    <row r="91" spans="1:8" x14ac:dyDescent="0.25">
      <c r="A91" s="25" t="s">
        <v>60</v>
      </c>
      <c r="B91" s="40"/>
      <c r="C91" s="42"/>
      <c r="D91" s="42"/>
    </row>
    <row r="92" spans="1:8" x14ac:dyDescent="0.25">
      <c r="A92" s="29" t="s">
        <v>61</v>
      </c>
      <c r="B92" s="23"/>
      <c r="C92" s="23">
        <v>736.95</v>
      </c>
      <c r="D92" s="23">
        <v>1268.19</v>
      </c>
    </row>
    <row r="93" spans="1:8" x14ac:dyDescent="0.25">
      <c r="A93" s="29" t="s">
        <v>62</v>
      </c>
      <c r="B93" s="23"/>
      <c r="C93" s="23">
        <v>389.73</v>
      </c>
      <c r="D93" s="23">
        <v>1131.78</v>
      </c>
      <c r="F93" s="3" t="s">
        <v>63</v>
      </c>
    </row>
    <row r="94" spans="1:8" x14ac:dyDescent="0.25">
      <c r="A94" s="29" t="s">
        <v>64</v>
      </c>
      <c r="B94" s="23"/>
      <c r="C94" s="23">
        <v>78.27</v>
      </c>
      <c r="D94" s="23">
        <v>113.59</v>
      </c>
      <c r="F94" t="s">
        <v>65</v>
      </c>
    </row>
    <row r="95" spans="1:8" x14ac:dyDescent="0.25">
      <c r="A95" s="29" t="s">
        <v>66</v>
      </c>
      <c r="B95" s="47"/>
      <c r="C95" s="23"/>
      <c r="D95" s="23"/>
      <c r="F95" t="s">
        <v>65</v>
      </c>
    </row>
    <row r="96" spans="1:8" x14ac:dyDescent="0.25">
      <c r="A96" s="29" t="s">
        <v>67</v>
      </c>
      <c r="B96" s="32"/>
      <c r="C96" s="48"/>
      <c r="D96" s="48"/>
      <c r="F96" t="s">
        <v>68</v>
      </c>
    </row>
    <row r="97" spans="1:6" x14ac:dyDescent="0.25">
      <c r="A97" s="29" t="s">
        <v>69</v>
      </c>
      <c r="B97" s="48"/>
      <c r="C97" s="54"/>
      <c r="D97" s="48">
        <f>4.59/D98</f>
        <v>1.4402259177910258E-2</v>
      </c>
      <c r="F97" s="3" t="s">
        <v>70</v>
      </c>
    </row>
    <row r="98" spans="1:6" x14ac:dyDescent="0.25">
      <c r="D98">
        <f>(C47+D47)/2</f>
        <v>318.70000000000005</v>
      </c>
    </row>
    <row r="99" spans="1:6" x14ac:dyDescent="0.25">
      <c r="D99">
        <v>4.59</v>
      </c>
    </row>
  </sheetData>
  <conditionalFormatting sqref="A41">
    <cfRule type="expression" dxfId="1" priority="1">
      <formula>#REF!=$C41</formula>
    </cfRule>
  </conditionalFormatting>
  <dataValidations count="2">
    <dataValidation type="list" allowBlank="1" showInputMessage="1" showErrorMessage="1" sqref="A2" xr:uid="{9B6642F2-C91B-4B60-A286-4BEC03A0CA4D}">
      <formula1>"$ bns except per share, $ mm except per share,$ in thousands except per share"</formula1>
    </dataValidation>
    <dataValidation type="list" allowBlank="1" showInputMessage="1" showErrorMessage="1" sqref="B6" xr:uid="{5415BC16-A00D-4162-8C99-DF0BC13676E9}">
      <formula1>"0,1"</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71DC1-D892-4810-A686-4C06F7B5D154}">
  <dimension ref="C1:X157"/>
  <sheetViews>
    <sheetView tabSelected="1" topLeftCell="A11" workbookViewId="0">
      <selection activeCell="K19" sqref="K19"/>
    </sheetView>
  </sheetViews>
  <sheetFormatPr defaultRowHeight="15" x14ac:dyDescent="0.25"/>
  <cols>
    <col min="1" max="1" width="8.7109375" customWidth="1"/>
    <col min="3" max="3" width="24.28515625" customWidth="1"/>
    <col min="4" max="4" width="22.85546875" customWidth="1"/>
  </cols>
  <sheetData>
    <row r="1" spans="3:24" ht="15.75" thickBot="1" x14ac:dyDescent="0.3"/>
    <row r="2" spans="3:24" ht="15.75" thickBot="1" x14ac:dyDescent="0.3">
      <c r="C2" s="1" t="str">
        <f>"Financial Statement Model for "&amp;D5</f>
        <v>Financial Statement Model for Apple</v>
      </c>
      <c r="D2" s="2"/>
      <c r="E2" s="2"/>
      <c r="F2" s="2"/>
      <c r="G2" s="2"/>
      <c r="H2" s="2"/>
      <c r="I2" s="2"/>
      <c r="J2" s="2"/>
      <c r="K2" s="2"/>
    </row>
    <row r="3" spans="3:24" x14ac:dyDescent="0.25">
      <c r="C3" s="4" t="s">
        <v>0</v>
      </c>
      <c r="D3" s="5"/>
      <c r="E3" s="5"/>
      <c r="F3" s="5"/>
      <c r="G3" s="5"/>
      <c r="H3" s="5"/>
    </row>
    <row r="5" spans="3:24" x14ac:dyDescent="0.25">
      <c r="C5" s="6" t="s">
        <v>1</v>
      </c>
      <c r="D5" s="7" t="s">
        <v>164</v>
      </c>
    </row>
    <row r="6" spans="3:24" x14ac:dyDescent="0.25">
      <c r="C6" s="6" t="s">
        <v>2</v>
      </c>
      <c r="D6" s="7" t="s">
        <v>165</v>
      </c>
    </row>
    <row r="7" spans="3:24" x14ac:dyDescent="0.25">
      <c r="C7" t="s">
        <v>3</v>
      </c>
      <c r="D7" s="8">
        <v>0</v>
      </c>
    </row>
    <row r="8" spans="3:24" x14ac:dyDescent="0.25">
      <c r="C8" t="s">
        <v>4</v>
      </c>
      <c r="D8" s="9">
        <v>171.25</v>
      </c>
    </row>
    <row r="9" spans="3:24" x14ac:dyDescent="0.25">
      <c r="C9" t="s">
        <v>5</v>
      </c>
      <c r="D9" s="10">
        <v>43500</v>
      </c>
    </row>
    <row r="10" spans="3:24" x14ac:dyDescent="0.25">
      <c r="C10" s="6" t="s">
        <v>6</v>
      </c>
      <c r="D10" s="11" t="s">
        <v>200</v>
      </c>
    </row>
    <row r="11" spans="3:24" x14ac:dyDescent="0.25">
      <c r="C11" t="s">
        <v>166</v>
      </c>
      <c r="D11" s="85">
        <v>4745.3980000000001</v>
      </c>
    </row>
    <row r="13" spans="3:24" x14ac:dyDescent="0.25">
      <c r="C13" s="14" t="s">
        <v>7</v>
      </c>
      <c r="D13" s="15"/>
      <c r="E13" s="15"/>
      <c r="F13" s="15"/>
      <c r="G13" s="15"/>
      <c r="H13" s="15"/>
      <c r="I13" s="15"/>
      <c r="J13" s="15"/>
      <c r="K13" s="15"/>
    </row>
    <row r="14" spans="3:24" x14ac:dyDescent="0.25">
      <c r="C14" t="s">
        <v>8</v>
      </c>
      <c r="D14" s="16"/>
      <c r="E14" s="16">
        <v>2024</v>
      </c>
      <c r="F14" s="16">
        <v>2025</v>
      </c>
      <c r="G14" s="55">
        <v>2026</v>
      </c>
      <c r="H14" s="55">
        <v>2027</v>
      </c>
      <c r="I14" s="55">
        <v>2028</v>
      </c>
      <c r="J14" s="55">
        <v>2029</v>
      </c>
      <c r="K14" s="55">
        <v>2030</v>
      </c>
    </row>
    <row r="15" spans="3:24" x14ac:dyDescent="0.25">
      <c r="C15" s="17" t="s">
        <v>9</v>
      </c>
      <c r="D15" s="18"/>
      <c r="E15" s="18"/>
      <c r="F15" s="18"/>
      <c r="G15" s="18"/>
      <c r="H15" s="18"/>
      <c r="I15" s="18"/>
      <c r="J15" s="18"/>
      <c r="K15" s="18"/>
      <c r="M15" s="56" t="s">
        <v>98</v>
      </c>
      <c r="N15" s="57"/>
      <c r="O15" s="57"/>
      <c r="P15" s="57"/>
      <c r="Q15" s="57"/>
      <c r="R15" s="57"/>
      <c r="S15" s="57"/>
      <c r="V15" t="s">
        <v>202</v>
      </c>
    </row>
    <row r="16" spans="3:24" ht="30" x14ac:dyDescent="0.25">
      <c r="C16" s="20"/>
      <c r="D16" s="21"/>
      <c r="E16" s="22"/>
      <c r="F16" s="22"/>
      <c r="G16" s="58"/>
      <c r="H16" s="59"/>
      <c r="I16" s="59"/>
      <c r="J16" s="22"/>
      <c r="K16" s="22"/>
      <c r="V16" s="114" t="s">
        <v>203</v>
      </c>
      <c r="W16" s="114" t="s">
        <v>204</v>
      </c>
      <c r="X16" s="114" t="s">
        <v>205</v>
      </c>
    </row>
    <row r="17" spans="3:24" x14ac:dyDescent="0.25">
      <c r="C17" t="s">
        <v>10</v>
      </c>
      <c r="D17" s="23"/>
      <c r="E17" s="23">
        <v>12375.11</v>
      </c>
      <c r="F17" s="23">
        <v>17134.61</v>
      </c>
      <c r="G17" s="70">
        <v>20448</v>
      </c>
      <c r="H17" s="70">
        <v>24301</v>
      </c>
      <c r="I17" s="70">
        <f>H17*(1+I36)</f>
        <v>28189.16</v>
      </c>
      <c r="J17" s="70">
        <f>I17*(1+J36)</f>
        <v>32699.425599999999</v>
      </c>
      <c r="K17" s="70">
        <f>J17*(1+K36)</f>
        <v>37931.333695999994</v>
      </c>
      <c r="V17" s="115" t="s">
        <v>206</v>
      </c>
      <c r="W17" s="115" t="s">
        <v>207</v>
      </c>
      <c r="X17" s="115" t="s">
        <v>208</v>
      </c>
    </row>
    <row r="18" spans="3:24" ht="30" x14ac:dyDescent="0.25">
      <c r="C18" t="s">
        <v>11</v>
      </c>
      <c r="D18" s="39"/>
      <c r="E18" s="49">
        <f>(7123.6-164.71+1036.64+671.11)*-1</f>
        <v>-8666.6400000000012</v>
      </c>
      <c r="F18" s="49">
        <f>(10143.39-454.25+1308.45+895.18)*-1</f>
        <v>-11892.77</v>
      </c>
      <c r="G18" s="70">
        <f>G17*G39</f>
        <v>14109.119999999999</v>
      </c>
      <c r="H18" s="70">
        <f>H17*H39</f>
        <v>16767.689999999999</v>
      </c>
      <c r="I18" s="70">
        <f t="shared" ref="I18:K18" si="0">I17*I39</f>
        <v>19450.520399999998</v>
      </c>
      <c r="J18" s="70">
        <f t="shared" si="0"/>
        <v>22562.603663999998</v>
      </c>
      <c r="K18" s="70">
        <f t="shared" si="0"/>
        <v>26172.620250239994</v>
      </c>
      <c r="M18" t="s">
        <v>201</v>
      </c>
      <c r="V18" s="115" t="s">
        <v>209</v>
      </c>
      <c r="W18" s="115" t="s">
        <v>210</v>
      </c>
      <c r="X18" s="115" t="s">
        <v>211</v>
      </c>
    </row>
    <row r="19" spans="3:24" ht="45" x14ac:dyDescent="0.25">
      <c r="C19" s="25" t="s">
        <v>12</v>
      </c>
      <c r="D19" s="41">
        <f>SUM(D17:D18)</f>
        <v>0</v>
      </c>
      <c r="E19" s="41">
        <f>SUM(E17:E18)</f>
        <v>3708.4699999999993</v>
      </c>
      <c r="F19" s="41">
        <f>SUM(F17:F18)</f>
        <v>5241.84</v>
      </c>
      <c r="G19" s="27">
        <f>G17*G37</f>
        <v>7729.3440000000001</v>
      </c>
      <c r="H19" s="27">
        <f>H17*H37</f>
        <v>9258.6810000000005</v>
      </c>
      <c r="I19" s="27">
        <f>I17*I37</f>
        <v>10768.259120000001</v>
      </c>
      <c r="J19" s="27">
        <f>J17*J37</f>
        <v>12491.1805792</v>
      </c>
      <c r="K19" s="27">
        <f>K17*K37</f>
        <v>14489.769471871998</v>
      </c>
      <c r="M19" s="3" t="s">
        <v>99</v>
      </c>
      <c r="V19" s="115" t="s">
        <v>212</v>
      </c>
      <c r="W19" s="115" t="s">
        <v>213</v>
      </c>
      <c r="X19" s="115" t="s">
        <v>214</v>
      </c>
    </row>
    <row r="20" spans="3:24" ht="30" x14ac:dyDescent="0.25">
      <c r="C20" t="s">
        <v>13</v>
      </c>
      <c r="D20" s="39">
        <v>-10045</v>
      </c>
      <c r="E20" s="39">
        <v>-11581</v>
      </c>
      <c r="F20" s="39">
        <v>-14236</v>
      </c>
      <c r="G20" s="70">
        <f>-G38*G17</f>
        <v>-1267.7760000000001</v>
      </c>
      <c r="H20" s="70">
        <f>-H38*H17</f>
        <v>-1530.963</v>
      </c>
      <c r="I20" s="70">
        <f>-I38*I17</f>
        <v>-1775.9170799999999</v>
      </c>
      <c r="J20" s="70">
        <f>-J38*J17</f>
        <v>-2060.0638128000001</v>
      </c>
      <c r="K20" s="70">
        <f>-K38*K17</f>
        <v>-2389.6740228479998</v>
      </c>
      <c r="M20" s="3" t="s">
        <v>100</v>
      </c>
      <c r="V20" s="116" t="s">
        <v>215</v>
      </c>
      <c r="W20" s="117">
        <v>17135</v>
      </c>
      <c r="X20" s="118">
        <v>1</v>
      </c>
    </row>
    <row r="21" spans="3:24" x14ac:dyDescent="0.25">
      <c r="C21" t="s">
        <v>14</v>
      </c>
      <c r="D21" s="39">
        <v>-14194</v>
      </c>
      <c r="E21" s="39">
        <v>-15261</v>
      </c>
      <c r="F21" s="39">
        <v>-16705</v>
      </c>
      <c r="G21" s="70">
        <f>-G17*G39</f>
        <v>-14109.119999999999</v>
      </c>
      <c r="H21" s="70">
        <f>-H17*H39</f>
        <v>-16767.689999999999</v>
      </c>
      <c r="I21" s="70">
        <f>-I17*I39</f>
        <v>-19450.520399999998</v>
      </c>
      <c r="J21" s="70">
        <f>-J17*J39</f>
        <v>-22562.603663999998</v>
      </c>
      <c r="K21" s="70">
        <f>-K17*K39</f>
        <v>-26172.620250239994</v>
      </c>
      <c r="M21" s="3" t="s">
        <v>101</v>
      </c>
    </row>
    <row r="22" spans="3:24" x14ac:dyDescent="0.25">
      <c r="C22" s="25" t="s">
        <v>15</v>
      </c>
      <c r="D22" s="41">
        <f t="shared" ref="D22:K22" si="1">D19+D20+D21</f>
        <v>-24239</v>
      </c>
      <c r="E22" s="41">
        <f>E19+E20+E21</f>
        <v>-23133.53</v>
      </c>
      <c r="F22" s="41">
        <f>F19+F20+F21</f>
        <v>-25699.16</v>
      </c>
      <c r="G22" s="27">
        <f t="shared" si="1"/>
        <v>-7647.5519999999988</v>
      </c>
      <c r="H22" s="27">
        <f>H19+H20+H21</f>
        <v>-9039.9719999999979</v>
      </c>
      <c r="I22" s="27">
        <f t="shared" si="1"/>
        <v>-10458.178359999996</v>
      </c>
      <c r="J22" s="27">
        <f t="shared" si="1"/>
        <v>-12131.4868976</v>
      </c>
      <c r="K22" s="27">
        <f t="shared" si="1"/>
        <v>-14072.524801215995</v>
      </c>
      <c r="M22" s="25" t="s">
        <v>102</v>
      </c>
    </row>
    <row r="23" spans="3:24" x14ac:dyDescent="0.25">
      <c r="C23" t="s">
        <v>16</v>
      </c>
      <c r="D23" s="39">
        <v>3999</v>
      </c>
      <c r="E23" s="39">
        <v>5201</v>
      </c>
      <c r="F23" s="39">
        <v>5686</v>
      </c>
      <c r="G23" s="86">
        <f>G156</f>
        <v>0</v>
      </c>
      <c r="H23" s="86">
        <f t="shared" ref="H23:K23" si="2">H156</f>
        <v>0</v>
      </c>
      <c r="I23" s="86">
        <f t="shared" si="2"/>
        <v>0</v>
      </c>
      <c r="J23" s="86">
        <f t="shared" si="2"/>
        <v>0</v>
      </c>
      <c r="K23" s="86">
        <f t="shared" si="2"/>
        <v>0</v>
      </c>
      <c r="M23" t="s">
        <v>103</v>
      </c>
    </row>
    <row r="24" spans="3:24" x14ac:dyDescent="0.25">
      <c r="C24" t="s">
        <v>17</v>
      </c>
      <c r="D24" s="39">
        <v>-1456</v>
      </c>
      <c r="E24" s="39">
        <v>-2323</v>
      </c>
      <c r="F24" s="39">
        <v>-3240</v>
      </c>
      <c r="G24" s="86">
        <f>-G142</f>
        <v>-2961.9392651501776</v>
      </c>
      <c r="H24" s="86">
        <f t="shared" ref="H24:K24" si="3">-H142</f>
        <v>-2961.9392651501776</v>
      </c>
      <c r="I24" s="86">
        <f t="shared" si="3"/>
        <v>-2961.9392651501776</v>
      </c>
      <c r="J24" s="86">
        <f t="shared" si="3"/>
        <v>-2961.9392651501776</v>
      </c>
      <c r="K24" s="86">
        <f t="shared" si="3"/>
        <v>-2961.9392651501776</v>
      </c>
      <c r="M24" t="s">
        <v>104</v>
      </c>
    </row>
    <row r="25" spans="3:24" x14ac:dyDescent="0.25">
      <c r="C25" t="s">
        <v>18</v>
      </c>
      <c r="D25" s="39">
        <v>-1195</v>
      </c>
      <c r="E25" s="39">
        <v>-133</v>
      </c>
      <c r="F25" s="39">
        <v>-441</v>
      </c>
      <c r="G25" s="62">
        <f>F25</f>
        <v>-441</v>
      </c>
      <c r="H25" s="62">
        <f>G25</f>
        <v>-441</v>
      </c>
      <c r="I25" s="62">
        <f>H25</f>
        <v>-441</v>
      </c>
      <c r="J25" s="62">
        <f>I25</f>
        <v>-441</v>
      </c>
      <c r="K25" s="62">
        <f>J25</f>
        <v>-441</v>
      </c>
      <c r="M25" t="s">
        <v>105</v>
      </c>
    </row>
    <row r="26" spans="3:24" x14ac:dyDescent="0.25">
      <c r="C26" s="25" t="s">
        <v>19</v>
      </c>
      <c r="D26" s="41">
        <f t="shared" ref="D26:K26" si="4">SUM(D22:D25)</f>
        <v>-22891</v>
      </c>
      <c r="E26" s="41">
        <f>SUM(E22:E25)</f>
        <v>-20388.53</v>
      </c>
      <c r="F26" s="41">
        <f>SUM(F22:F25)</f>
        <v>-23694.16</v>
      </c>
      <c r="G26" s="27">
        <f>SUM(G22:G25)</f>
        <v>-11050.491265150176</v>
      </c>
      <c r="H26" s="27">
        <f>SUM(H22:H25)</f>
        <v>-12442.911265150175</v>
      </c>
      <c r="I26" s="27">
        <f t="shared" si="4"/>
        <v>-13861.117625150175</v>
      </c>
      <c r="J26" s="27">
        <f t="shared" si="4"/>
        <v>-15534.426162750176</v>
      </c>
      <c r="K26" s="27">
        <f t="shared" si="4"/>
        <v>-17475.464066366174</v>
      </c>
      <c r="M26" s="25" t="s">
        <v>106</v>
      </c>
      <c r="N26" s="25"/>
    </row>
    <row r="27" spans="3:24" x14ac:dyDescent="0.25">
      <c r="C27" t="s">
        <v>20</v>
      </c>
      <c r="D27" s="39">
        <v>-15685</v>
      </c>
      <c r="E27" s="39">
        <v>-15738</v>
      </c>
      <c r="F27" s="39">
        <v>-13372</v>
      </c>
      <c r="G27" s="70">
        <f>-G40*G26</f>
        <v>1845.4320412800796</v>
      </c>
      <c r="H27" s="70">
        <f>-H40*H26</f>
        <v>2115.2949150755298</v>
      </c>
      <c r="I27" s="70">
        <f>-I40*I26</f>
        <v>2342.5288786503797</v>
      </c>
      <c r="J27" s="70">
        <f>-J40*J26</f>
        <v>2625.3180215047801</v>
      </c>
      <c r="K27" s="70">
        <f>-K40*K26</f>
        <v>2953.3534272158836</v>
      </c>
      <c r="M27" t="s">
        <v>107</v>
      </c>
    </row>
    <row r="28" spans="3:24" x14ac:dyDescent="0.25">
      <c r="C28" s="25" t="s">
        <v>21</v>
      </c>
      <c r="D28" s="41">
        <f t="shared" ref="D28:K28" si="5">SUM(D26:D27)</f>
        <v>-38576</v>
      </c>
      <c r="E28" s="41">
        <f t="shared" si="5"/>
        <v>-36126.53</v>
      </c>
      <c r="F28" s="41">
        <f t="shared" si="5"/>
        <v>-37066.160000000003</v>
      </c>
      <c r="G28" s="27">
        <f t="shared" si="5"/>
        <v>-9205.0592238700974</v>
      </c>
      <c r="H28" s="27">
        <f t="shared" si="5"/>
        <v>-10327.616350074644</v>
      </c>
      <c r="I28" s="27">
        <f t="shared" si="5"/>
        <v>-11518.588746499794</v>
      </c>
      <c r="J28" s="27">
        <f t="shared" si="5"/>
        <v>-12909.108141245397</v>
      </c>
      <c r="K28" s="27">
        <f t="shared" si="5"/>
        <v>-14522.110639150291</v>
      </c>
      <c r="M28" s="25" t="s">
        <v>108</v>
      </c>
    </row>
    <row r="29" spans="3:24" x14ac:dyDescent="0.25">
      <c r="C29" s="28"/>
      <c r="D29" s="42"/>
      <c r="E29" s="42"/>
      <c r="F29" s="42"/>
      <c r="G29" s="42"/>
      <c r="H29" s="42"/>
      <c r="I29" s="42"/>
      <c r="J29" s="42"/>
      <c r="K29" s="42"/>
    </row>
    <row r="30" spans="3:24" x14ac:dyDescent="0.25">
      <c r="C30" s="29" t="s">
        <v>22</v>
      </c>
      <c r="D30" s="39">
        <v>10505</v>
      </c>
      <c r="E30" s="39">
        <v>10157</v>
      </c>
      <c r="F30" s="39">
        <v>10903</v>
      </c>
      <c r="G30" s="62">
        <f>G106</f>
        <v>11459.118873431809</v>
      </c>
      <c r="H30" s="62">
        <f>H106</f>
        <v>12354.117667158989</v>
      </c>
      <c r="I30" s="62">
        <f>I106</f>
        <v>13119.804125783041</v>
      </c>
      <c r="J30" s="62">
        <f>J106</f>
        <v>15539.573585908327</v>
      </c>
      <c r="K30" s="62">
        <f>K106</f>
        <v>18397.80228765366</v>
      </c>
      <c r="M30" t="s">
        <v>109</v>
      </c>
    </row>
    <row r="31" spans="3:24" x14ac:dyDescent="0.25">
      <c r="C31" s="30" t="s">
        <v>24</v>
      </c>
      <c r="D31" s="41">
        <f t="shared" ref="D31:K31" si="6">D22+D30</f>
        <v>-13734</v>
      </c>
      <c r="E31" s="41">
        <f t="shared" si="6"/>
        <v>-12976.529999999999</v>
      </c>
      <c r="F31" s="41">
        <f t="shared" si="6"/>
        <v>-14796.16</v>
      </c>
      <c r="G31" s="27">
        <f t="shared" si="6"/>
        <v>3811.5668734318106</v>
      </c>
      <c r="H31" s="27">
        <f t="shared" si="6"/>
        <v>3314.1456671589913</v>
      </c>
      <c r="I31" s="27">
        <f t="shared" si="6"/>
        <v>2661.6257657830447</v>
      </c>
      <c r="J31" s="27">
        <f t="shared" si="6"/>
        <v>3408.0866883083272</v>
      </c>
      <c r="K31" s="27">
        <f t="shared" si="6"/>
        <v>4325.2774864376643</v>
      </c>
      <c r="M31" s="25" t="s">
        <v>25</v>
      </c>
    </row>
    <row r="32" spans="3:24" x14ac:dyDescent="0.25">
      <c r="C32" s="29" t="s">
        <v>26</v>
      </c>
      <c r="D32" s="39">
        <v>4210</v>
      </c>
      <c r="E32" s="39">
        <v>4840</v>
      </c>
      <c r="F32" s="39">
        <v>5340</v>
      </c>
      <c r="G32" s="62">
        <f>F32*(1+G36)</f>
        <v>6372.6177601941336</v>
      </c>
      <c r="H32" s="62">
        <f>G32*(1+H36)</f>
        <v>7573.4049388926851</v>
      </c>
      <c r="I32" s="62">
        <f>H32*(1+I36)</f>
        <v>8785.1497291155138</v>
      </c>
      <c r="J32" s="62">
        <f>I32*(1+J36)</f>
        <v>10190.773685773995</v>
      </c>
      <c r="K32" s="62">
        <f>J32*(1+K36)</f>
        <v>11821.297475497833</v>
      </c>
      <c r="M32" t="s">
        <v>110</v>
      </c>
    </row>
    <row r="33" spans="3:20" x14ac:dyDescent="0.25">
      <c r="C33" s="30" t="s">
        <v>27</v>
      </c>
      <c r="D33" s="41">
        <f t="shared" ref="D33:K33" si="7">SUM(D31:D32)</f>
        <v>-9524</v>
      </c>
      <c r="E33" s="41">
        <f>SUM(E31:E32)</f>
        <v>-8136.5299999999988</v>
      </c>
      <c r="F33" s="41">
        <f>SUM(F31:F32)</f>
        <v>-9456.16</v>
      </c>
      <c r="G33" s="27">
        <f t="shared" si="7"/>
        <v>10184.184633625944</v>
      </c>
      <c r="H33" s="27">
        <f t="shared" si="7"/>
        <v>10887.550606051676</v>
      </c>
      <c r="I33" s="27">
        <f t="shared" si="7"/>
        <v>11446.775494898558</v>
      </c>
      <c r="J33" s="27">
        <f t="shared" si="7"/>
        <v>13598.860374082322</v>
      </c>
      <c r="K33" s="27">
        <f t="shared" si="7"/>
        <v>16146.574961935497</v>
      </c>
      <c r="M33" s="25" t="s">
        <v>28</v>
      </c>
    </row>
    <row r="34" spans="3:20" x14ac:dyDescent="0.25">
      <c r="C34" s="28"/>
      <c r="G34" s="53"/>
    </row>
    <row r="35" spans="3:20" x14ac:dyDescent="0.25">
      <c r="C35" s="31" t="s">
        <v>134</v>
      </c>
    </row>
    <row r="36" spans="3:20" x14ac:dyDescent="0.25">
      <c r="C36" s="28" t="s">
        <v>30</v>
      </c>
      <c r="D36" s="67"/>
      <c r="E36" s="67"/>
      <c r="F36" s="67">
        <f>F17/E17-1</f>
        <v>0.38460264191591031</v>
      </c>
      <c r="G36" s="34">
        <f>G17/F17-1</f>
        <v>0.19337411239590518</v>
      </c>
      <c r="H36" s="34">
        <f>H17/G17-1</f>
        <v>0.18842918622848193</v>
      </c>
      <c r="I36" s="34">
        <v>0.16</v>
      </c>
      <c r="J36" s="67">
        <f t="shared" ref="J36:K40" si="8">I36</f>
        <v>0.16</v>
      </c>
      <c r="K36" s="67">
        <f t="shared" si="8"/>
        <v>0.16</v>
      </c>
      <c r="M36" t="s">
        <v>216</v>
      </c>
      <c r="O36" s="34"/>
      <c r="P36" s="34"/>
      <c r="Q36" s="34"/>
      <c r="R36" s="34"/>
      <c r="S36" s="34"/>
      <c r="T36" s="34"/>
    </row>
    <row r="37" spans="3:20" x14ac:dyDescent="0.25">
      <c r="C37" s="28" t="s">
        <v>32</v>
      </c>
      <c r="D37" s="67" t="e">
        <f>D19/D17</f>
        <v>#DIV/0!</v>
      </c>
      <c r="E37" s="67">
        <f>E19/E17</f>
        <v>0.2996716796860795</v>
      </c>
      <c r="F37" s="67">
        <f>F19/F17</f>
        <v>0.30592117357792209</v>
      </c>
      <c r="G37" s="34">
        <v>0.378</v>
      </c>
      <c r="H37" s="34">
        <v>0.38100000000000001</v>
      </c>
      <c r="I37" s="34">
        <v>0.38200000000000001</v>
      </c>
      <c r="J37" s="67">
        <f t="shared" si="8"/>
        <v>0.38200000000000001</v>
      </c>
      <c r="K37" s="67">
        <f t="shared" si="8"/>
        <v>0.38200000000000001</v>
      </c>
      <c r="O37" s="34"/>
      <c r="P37" s="34"/>
      <c r="Q37" s="34"/>
      <c r="R37" s="34"/>
      <c r="S37" s="34"/>
      <c r="T37" s="34"/>
    </row>
    <row r="38" spans="3:20" x14ac:dyDescent="0.25">
      <c r="C38" s="28" t="s">
        <v>34</v>
      </c>
      <c r="D38" s="67" t="e">
        <f>-D20/D17</f>
        <v>#DIV/0!</v>
      </c>
      <c r="E38" s="67">
        <f>-E20/E17</f>
        <v>0.935830065348914</v>
      </c>
      <c r="F38" s="67">
        <f>-F20/F17</f>
        <v>0.83083303325841673</v>
      </c>
      <c r="G38" s="34">
        <v>6.2E-2</v>
      </c>
      <c r="H38" s="34">
        <v>6.3E-2</v>
      </c>
      <c r="I38" s="34">
        <v>6.3E-2</v>
      </c>
      <c r="J38" s="67">
        <f t="shared" si="8"/>
        <v>6.3E-2</v>
      </c>
      <c r="K38" s="67">
        <f t="shared" si="8"/>
        <v>6.3E-2</v>
      </c>
      <c r="O38" s="34"/>
      <c r="P38" s="34"/>
      <c r="Q38" s="34"/>
      <c r="R38" s="34"/>
      <c r="S38" s="34"/>
      <c r="T38" s="34"/>
    </row>
    <row r="39" spans="3:20" x14ac:dyDescent="0.25">
      <c r="C39" s="28" t="s">
        <v>36</v>
      </c>
      <c r="D39" s="67" t="e">
        <f>-D21/D17</f>
        <v>#DIV/0!</v>
      </c>
      <c r="E39" s="67">
        <f>E18/E17</f>
        <v>-0.70032832031392056</v>
      </c>
      <c r="F39" s="67">
        <f>F18/F17</f>
        <v>-0.69407882642207785</v>
      </c>
      <c r="G39" s="34">
        <v>0.69</v>
      </c>
      <c r="H39" s="34">
        <v>0.69</v>
      </c>
      <c r="I39" s="34">
        <v>0.69</v>
      </c>
      <c r="J39" s="34">
        <v>0.69</v>
      </c>
      <c r="K39" s="34">
        <v>0.69</v>
      </c>
      <c r="M39" t="s">
        <v>217</v>
      </c>
      <c r="O39" s="34"/>
      <c r="P39" s="34"/>
      <c r="Q39" s="34"/>
      <c r="R39" s="34"/>
      <c r="S39" s="34"/>
      <c r="T39" s="34"/>
    </row>
    <row r="40" spans="3:20" x14ac:dyDescent="0.25">
      <c r="C40" s="28" t="s">
        <v>38</v>
      </c>
      <c r="D40" s="67">
        <f>-(D27/D26)</f>
        <v>-0.68520379188327285</v>
      </c>
      <c r="E40" s="67">
        <f>-(E27/E26)</f>
        <v>-0.77190459537789147</v>
      </c>
      <c r="F40" s="67">
        <f>-(F27/F26)</f>
        <v>-0.56435847483092882</v>
      </c>
      <c r="G40" s="34">
        <v>0.16700000000000001</v>
      </c>
      <c r="H40" s="34">
        <v>0.17</v>
      </c>
      <c r="I40" s="34">
        <v>0.16900000000000001</v>
      </c>
      <c r="J40" s="67">
        <f t="shared" si="8"/>
        <v>0.16900000000000001</v>
      </c>
      <c r="K40" s="67">
        <f t="shared" si="8"/>
        <v>0.16900000000000001</v>
      </c>
      <c r="O40" s="34"/>
      <c r="P40" s="34"/>
      <c r="Q40" s="34"/>
      <c r="R40" s="34"/>
      <c r="S40" s="34"/>
      <c r="T40" s="34"/>
    </row>
    <row r="41" spans="3:20" x14ac:dyDescent="0.25">
      <c r="C41" s="28"/>
      <c r="G41" s="53"/>
    </row>
    <row r="42" spans="3:20" x14ac:dyDescent="0.25">
      <c r="C42" s="14" t="s">
        <v>40</v>
      </c>
      <c r="D42" s="35"/>
      <c r="E42" s="35"/>
      <c r="F42" s="35"/>
      <c r="G42" s="15"/>
      <c r="H42" s="15"/>
      <c r="I42" s="15"/>
      <c r="J42" s="15"/>
      <c r="K42" s="15"/>
    </row>
    <row r="43" spans="3:20" x14ac:dyDescent="0.25">
      <c r="C43" s="36" t="str">
        <f>C14</f>
        <v xml:space="preserve">Fiscal year  </v>
      </c>
      <c r="D43" s="37"/>
      <c r="E43" s="37">
        <f t="shared" ref="E43:K44" si="9">E14</f>
        <v>2024</v>
      </c>
      <c r="F43" s="37">
        <f t="shared" si="9"/>
        <v>2025</v>
      </c>
      <c r="G43" s="60">
        <f t="shared" si="9"/>
        <v>2026</v>
      </c>
      <c r="H43" s="60">
        <f t="shared" si="9"/>
        <v>2027</v>
      </c>
      <c r="I43" s="60">
        <f t="shared" si="9"/>
        <v>2028</v>
      </c>
      <c r="J43" s="60">
        <f t="shared" si="9"/>
        <v>2029</v>
      </c>
      <c r="K43" s="60">
        <f t="shared" si="9"/>
        <v>2030</v>
      </c>
    </row>
    <row r="44" spans="3:20" x14ac:dyDescent="0.25">
      <c r="C44" s="15" t="str">
        <f>C15</f>
        <v>Fiscal year end date</v>
      </c>
      <c r="D44" s="38"/>
      <c r="E44" s="38">
        <f t="shared" si="9"/>
        <v>0</v>
      </c>
      <c r="F44" s="38">
        <f t="shared" si="9"/>
        <v>0</v>
      </c>
      <c r="G44" s="38">
        <f t="shared" si="9"/>
        <v>0</v>
      </c>
      <c r="H44" s="38">
        <f t="shared" si="9"/>
        <v>0</v>
      </c>
      <c r="I44" s="38">
        <f t="shared" si="9"/>
        <v>0</v>
      </c>
      <c r="J44" s="38">
        <f t="shared" si="9"/>
        <v>0</v>
      </c>
      <c r="K44" s="38">
        <f t="shared" si="9"/>
        <v>0</v>
      </c>
    </row>
    <row r="45" spans="3:20" x14ac:dyDescent="0.25">
      <c r="C45" t="s">
        <v>41</v>
      </c>
      <c r="D45" s="39"/>
      <c r="E45" s="39">
        <f>20289+53892+194714</f>
        <v>268895</v>
      </c>
      <c r="F45" s="39">
        <f>25913+40388+170799</f>
        <v>237100</v>
      </c>
      <c r="G45" s="62">
        <f>G90+F45</f>
        <v>62000</v>
      </c>
      <c r="H45" s="62">
        <f>H90+G45</f>
        <v>62000</v>
      </c>
      <c r="I45" s="62">
        <f>I90+H45</f>
        <v>62000</v>
      </c>
      <c r="J45" s="62">
        <f>J90+I45</f>
        <v>62000</v>
      </c>
      <c r="K45" s="62">
        <f>K90+J45</f>
        <v>62000</v>
      </c>
      <c r="M45" t="s">
        <v>111</v>
      </c>
    </row>
    <row r="46" spans="3:20" x14ac:dyDescent="0.25">
      <c r="C46" t="s">
        <v>42</v>
      </c>
      <c r="D46" s="39"/>
      <c r="E46" s="39">
        <v>17874</v>
      </c>
      <c r="F46" s="39">
        <v>23186</v>
      </c>
      <c r="G46" s="62">
        <f>F46*(1+G36)</f>
        <v>27669.572170011459</v>
      </c>
      <c r="H46" s="62">
        <f>G46*(1+H36)</f>
        <v>32883.327137296968</v>
      </c>
      <c r="I46" s="62">
        <f>H46*(1+I36)</f>
        <v>38144.659479264483</v>
      </c>
      <c r="J46" s="62">
        <f>I46*(1+J36)</f>
        <v>44247.804995946797</v>
      </c>
      <c r="K46" s="62">
        <f>J46*(1+K36)</f>
        <v>51327.453795298279</v>
      </c>
      <c r="M46" t="s">
        <v>112</v>
      </c>
    </row>
    <row r="47" spans="3:20" x14ac:dyDescent="0.25">
      <c r="C47" t="s">
        <v>43</v>
      </c>
      <c r="D47" s="39"/>
      <c r="E47" s="39">
        <v>4855</v>
      </c>
      <c r="F47" s="39">
        <v>3956</v>
      </c>
      <c r="G47" s="62">
        <f>F47*G18/F18</f>
        <v>-4693.2446116421988</v>
      </c>
      <c r="H47" s="62">
        <f>G47*H18/G18</f>
        <v>-5577.5888745851462</v>
      </c>
      <c r="I47" s="62">
        <f>H47*I18/H18</f>
        <v>-6470.0030945187691</v>
      </c>
      <c r="J47" s="62">
        <f>I47*J18/I18</f>
        <v>-7505.2035896417719</v>
      </c>
      <c r="K47" s="62">
        <f>J47*K18/J18</f>
        <v>-8706.0361639844541</v>
      </c>
      <c r="M47" t="s">
        <v>113</v>
      </c>
    </row>
    <row r="48" spans="3:20" x14ac:dyDescent="0.25">
      <c r="C48" t="s">
        <v>44</v>
      </c>
      <c r="D48" s="39"/>
      <c r="E48" s="39">
        <f>17799+13936</f>
        <v>31735</v>
      </c>
      <c r="F48" s="39">
        <f>25809+12087</f>
        <v>37896</v>
      </c>
      <c r="G48" s="62">
        <f>F48*(1+G36)</f>
        <v>45224.105363355222</v>
      </c>
      <c r="H48" s="62">
        <f>G48*(1+H36)</f>
        <v>53745.646734883368</v>
      </c>
      <c r="I48" s="62">
        <f>H48*(1+I36)</f>
        <v>62344.950212464704</v>
      </c>
      <c r="J48" s="62">
        <f>I48*(1+J36)</f>
        <v>72320.142246459058</v>
      </c>
      <c r="K48" s="62">
        <f>J48*(1+K36)</f>
        <v>83891.365005892498</v>
      </c>
      <c r="M48" t="s">
        <v>112</v>
      </c>
    </row>
    <row r="49" spans="3:13" x14ac:dyDescent="0.25">
      <c r="C49" t="s">
        <v>45</v>
      </c>
      <c r="D49" s="39"/>
      <c r="E49" s="39">
        <v>33783</v>
      </c>
      <c r="F49" s="39">
        <v>41304</v>
      </c>
      <c r="G49" s="62">
        <f>G99</f>
        <v>45042.85982873883</v>
      </c>
      <c r="H49" s="62">
        <f>H99</f>
        <v>48611.181883872909</v>
      </c>
      <c r="I49" s="62">
        <f>I99</f>
        <v>51947.567835949827</v>
      </c>
      <c r="J49" s="62">
        <f>J99</f>
        <v>55497.174740359042</v>
      </c>
      <c r="K49" s="62">
        <f>K99</f>
        <v>59242.821821473735</v>
      </c>
      <c r="M49" t="s">
        <v>114</v>
      </c>
    </row>
    <row r="50" spans="3:13" x14ac:dyDescent="0.25">
      <c r="C50" t="s">
        <v>46</v>
      </c>
      <c r="D50" s="39"/>
      <c r="E50" s="39">
        <v>18177</v>
      </c>
      <c r="F50" s="39">
        <v>22283</v>
      </c>
      <c r="G50" s="62">
        <f>F50*(1+G36)</f>
        <v>26591.955346517956</v>
      </c>
      <c r="H50" s="62">
        <f>G50*(1+H36)</f>
        <v>31602.655852686465</v>
      </c>
      <c r="I50" s="62">
        <f>H50*(1+I36)</f>
        <v>36659.080789116299</v>
      </c>
      <c r="J50" s="62">
        <f>I50*(1+J36)</f>
        <v>42524.533715374906</v>
      </c>
      <c r="K50" s="62">
        <f>J50*(1+K36)</f>
        <v>49328.45910983489</v>
      </c>
      <c r="M50" t="s">
        <v>112</v>
      </c>
    </row>
    <row r="51" spans="3:13" x14ac:dyDescent="0.25">
      <c r="C51" s="30" t="s">
        <v>47</v>
      </c>
      <c r="D51" s="41"/>
      <c r="E51" s="41">
        <f t="shared" ref="E51:K51" si="10">SUM(E45:E50)</f>
        <v>375319</v>
      </c>
      <c r="F51" s="41">
        <f t="shared" si="10"/>
        <v>365725</v>
      </c>
      <c r="G51" s="64">
        <f t="shared" si="10"/>
        <v>201835.24809698129</v>
      </c>
      <c r="H51" s="64">
        <f t="shared" si="10"/>
        <v>223265.22273415458</v>
      </c>
      <c r="I51" s="64">
        <f t="shared" si="10"/>
        <v>244626.25522227655</v>
      </c>
      <c r="J51" s="64">
        <f t="shared" si="10"/>
        <v>269084.45210849802</v>
      </c>
      <c r="K51" s="64">
        <f t="shared" si="10"/>
        <v>297084.06356851495</v>
      </c>
    </row>
    <row r="52" spans="3:13" x14ac:dyDescent="0.25">
      <c r="C52" s="29"/>
      <c r="D52" s="42"/>
      <c r="E52" s="42"/>
      <c r="F52" s="42"/>
      <c r="G52" s="42"/>
      <c r="H52" s="42"/>
      <c r="I52" s="42"/>
      <c r="J52" s="42"/>
      <c r="K52" s="42"/>
    </row>
    <row r="53" spans="3:13" x14ac:dyDescent="0.25">
      <c r="C53" s="29" t="s">
        <v>48</v>
      </c>
      <c r="D53" s="39"/>
      <c r="E53" s="39">
        <v>44242</v>
      </c>
      <c r="F53" s="39">
        <v>55888</v>
      </c>
      <c r="G53" s="62">
        <f>F53*G18/F18</f>
        <v>-66303.350570136303</v>
      </c>
      <c r="H53" s="62">
        <f>G53*H18/G18</f>
        <v>-78796.836962288842</v>
      </c>
      <c r="I53" s="62">
        <f>H53*I18/H18</f>
        <v>-91404.330876255059</v>
      </c>
      <c r="J53" s="62">
        <f>I53*J18/I18</f>
        <v>-106029.02381645587</v>
      </c>
      <c r="K53" s="62">
        <f>J53*K18/J18</f>
        <v>-122993.66762708878</v>
      </c>
      <c r="M53" t="s">
        <v>113</v>
      </c>
    </row>
    <row r="54" spans="3:13" x14ac:dyDescent="0.25">
      <c r="C54" s="29" t="s">
        <v>49</v>
      </c>
      <c r="D54" s="39"/>
      <c r="E54" s="39">
        <v>30551</v>
      </c>
      <c r="F54" s="39">
        <v>32687</v>
      </c>
      <c r="G54" s="62">
        <f>F54*(1+G36)</f>
        <v>39007.819611884952</v>
      </c>
      <c r="H54" s="62">
        <f>G54*(1+H36)</f>
        <v>46358.031317899848</v>
      </c>
      <c r="I54" s="62">
        <f>H54*(1+I36)</f>
        <v>53775.316328763816</v>
      </c>
      <c r="J54" s="62">
        <f>I54*(1+J36)</f>
        <v>62379.366941366025</v>
      </c>
      <c r="K54" s="62">
        <f>J54*(1+K36)</f>
        <v>72360.06565198458</v>
      </c>
      <c r="M54" t="s">
        <v>112</v>
      </c>
    </row>
    <row r="55" spans="3:13" x14ac:dyDescent="0.25">
      <c r="C55" s="29" t="s">
        <v>50</v>
      </c>
      <c r="D55" s="39"/>
      <c r="E55" s="39">
        <f>7548+2836</f>
        <v>10384</v>
      </c>
      <c r="F55" s="39">
        <f>7543+2797</f>
        <v>10340</v>
      </c>
      <c r="G55" s="62">
        <f>F55*(1+G36)</f>
        <v>12339.48832217366</v>
      </c>
      <c r="H55" s="62">
        <f>G55*(1+H36)</f>
        <v>14664.608065196699</v>
      </c>
      <c r="I55" s="62">
        <f>H55*(1+I36)</f>
        <v>17010.94535562817</v>
      </c>
      <c r="J55" s="62">
        <f>I55*(1+J36)</f>
        <v>19732.696612528674</v>
      </c>
      <c r="K55" s="62">
        <f>J55*(1+K36)</f>
        <v>22889.92807053326</v>
      </c>
      <c r="M55" t="s">
        <v>112</v>
      </c>
    </row>
    <row r="56" spans="3:13" x14ac:dyDescent="0.25">
      <c r="C56" s="29" t="s">
        <v>51</v>
      </c>
      <c r="D56" s="39"/>
      <c r="E56" s="39">
        <v>11977</v>
      </c>
      <c r="F56" s="39">
        <v>11964</v>
      </c>
      <c r="G56" s="86">
        <f>G135</f>
        <v>42832.089798687928</v>
      </c>
      <c r="H56" s="86">
        <f>H135</f>
        <v>146465.96173892173</v>
      </c>
      <c r="I56" s="86">
        <f>I135</f>
        <v>249943.1270252135</v>
      </c>
      <c r="J56" s="86">
        <f>J135</f>
        <v>355317.02315261756</v>
      </c>
      <c r="K56" s="86">
        <f>K135</f>
        <v>462839.83092771185</v>
      </c>
      <c r="M56" t="s">
        <v>167</v>
      </c>
    </row>
    <row r="57" spans="3:13" x14ac:dyDescent="0.25">
      <c r="C57" s="29" t="s">
        <v>52</v>
      </c>
      <c r="D57" s="39"/>
      <c r="E57" s="39">
        <f>6496+97207</f>
        <v>103703</v>
      </c>
      <c r="F57" s="39">
        <f>8784+93735</f>
        <v>102519</v>
      </c>
      <c r="G57" s="62">
        <f t="shared" ref="G57:K57" si="11">F57</f>
        <v>102519</v>
      </c>
      <c r="H57" s="62">
        <f t="shared" si="11"/>
        <v>102519</v>
      </c>
      <c r="I57" s="62">
        <f t="shared" si="11"/>
        <v>102519</v>
      </c>
      <c r="J57" s="62">
        <f t="shared" si="11"/>
        <v>102519</v>
      </c>
      <c r="K57" s="62">
        <f t="shared" si="11"/>
        <v>102519</v>
      </c>
      <c r="M57" t="s">
        <v>115</v>
      </c>
    </row>
    <row r="58" spans="3:13" x14ac:dyDescent="0.25">
      <c r="C58" s="29" t="s">
        <v>53</v>
      </c>
      <c r="D58" s="39"/>
      <c r="E58" s="39">
        <v>40415</v>
      </c>
      <c r="F58" s="39">
        <v>45180</v>
      </c>
      <c r="G58" s="62">
        <f>F58*(1+G36)</f>
        <v>53916.642398046999</v>
      </c>
      <c r="H58" s="62">
        <f t="shared" ref="H58:K58" si="12">G58*(1+H36)</f>
        <v>64076.11144928306</v>
      </c>
      <c r="I58" s="62">
        <f t="shared" si="12"/>
        <v>74328.289281168341</v>
      </c>
      <c r="J58" s="62">
        <f t="shared" si="12"/>
        <v>86220.815566155274</v>
      </c>
      <c r="K58" s="62">
        <f t="shared" si="12"/>
        <v>100016.14605674011</v>
      </c>
      <c r="M58" t="s">
        <v>112</v>
      </c>
    </row>
    <row r="59" spans="3:13" x14ac:dyDescent="0.25">
      <c r="C59" s="30" t="s">
        <v>54</v>
      </c>
      <c r="D59" s="41"/>
      <c r="E59" s="41">
        <f t="shared" ref="E59:K59" si="13">SUM(E53:E58)</f>
        <v>241272</v>
      </c>
      <c r="F59" s="41">
        <f t="shared" si="13"/>
        <v>258578</v>
      </c>
      <c r="G59" s="64">
        <f t="shared" si="13"/>
        <v>184311.68956065725</v>
      </c>
      <c r="H59" s="64">
        <f t="shared" si="13"/>
        <v>295286.8756090125</v>
      </c>
      <c r="I59" s="64">
        <f t="shared" si="13"/>
        <v>406172.34711451875</v>
      </c>
      <c r="J59" s="64">
        <f t="shared" si="13"/>
        <v>520139.87845621165</v>
      </c>
      <c r="K59" s="64">
        <f t="shared" si="13"/>
        <v>637631.30307988101</v>
      </c>
    </row>
    <row r="60" spans="3:13" x14ac:dyDescent="0.25">
      <c r="C60" s="30"/>
      <c r="D60" s="41"/>
      <c r="E60" s="41"/>
      <c r="F60" s="41"/>
      <c r="G60" s="42"/>
      <c r="H60" s="42"/>
      <c r="I60" s="42"/>
      <c r="J60" s="42"/>
      <c r="K60" s="42"/>
    </row>
    <row r="61" spans="3:13" x14ac:dyDescent="0.25">
      <c r="C61" s="29" t="s">
        <v>55</v>
      </c>
      <c r="D61" s="39"/>
      <c r="E61" s="39">
        <v>35867</v>
      </c>
      <c r="F61" s="39">
        <v>40201</v>
      </c>
      <c r="G61" s="62">
        <f>F61+G32</f>
        <v>46573.617760194131</v>
      </c>
      <c r="H61" s="62">
        <f>G61+H32</f>
        <v>54147.022699086818</v>
      </c>
      <c r="I61" s="62">
        <f>H61+I32</f>
        <v>62932.172428202335</v>
      </c>
      <c r="J61" s="62">
        <f>I61+J32</f>
        <v>73122.94611397633</v>
      </c>
      <c r="K61" s="62">
        <f>J61+K32</f>
        <v>84944.243589474165</v>
      </c>
      <c r="M61" t="s">
        <v>116</v>
      </c>
    </row>
    <row r="62" spans="3:13" x14ac:dyDescent="0.25">
      <c r="C62" s="29" t="s">
        <v>56</v>
      </c>
      <c r="D62" s="44"/>
      <c r="E62" s="44">
        <f>98330</f>
        <v>98330</v>
      </c>
      <c r="F62" s="39">
        <v>70400</v>
      </c>
      <c r="G62" s="62">
        <f>G119</f>
        <v>-25596.059223870099</v>
      </c>
      <c r="H62" s="62">
        <f>H119</f>
        <v>-122714.67557394474</v>
      </c>
      <c r="I62" s="62">
        <f>I119</f>
        <v>-221024.26432044455</v>
      </c>
      <c r="J62" s="62">
        <f>J119</f>
        <v>-320724.37246168999</v>
      </c>
      <c r="K62" s="62">
        <f>K119</f>
        <v>-422037.4831008403</v>
      </c>
      <c r="M62" t="s">
        <v>117</v>
      </c>
    </row>
    <row r="63" spans="3:13" x14ac:dyDescent="0.25">
      <c r="C63" s="29" t="s">
        <v>57</v>
      </c>
      <c r="D63" s="39"/>
      <c r="E63" s="39">
        <v>-150</v>
      </c>
      <c r="F63" s="39">
        <v>-3454</v>
      </c>
      <c r="G63" s="62">
        <f>F63</f>
        <v>-3454</v>
      </c>
      <c r="H63" s="62">
        <f>G63</f>
        <v>-3454</v>
      </c>
      <c r="I63" s="62">
        <f>H63</f>
        <v>-3454</v>
      </c>
      <c r="J63" s="62">
        <f>I63</f>
        <v>-3454</v>
      </c>
      <c r="K63" s="62">
        <f>J63</f>
        <v>-3454</v>
      </c>
      <c r="M63" t="s">
        <v>115</v>
      </c>
    </row>
    <row r="64" spans="3:13" x14ac:dyDescent="0.25">
      <c r="C64" s="30" t="s">
        <v>58</v>
      </c>
      <c r="D64" s="45"/>
      <c r="E64" s="45">
        <f t="shared" ref="E64:K64" si="14">SUM(E61:E63)</f>
        <v>134047</v>
      </c>
      <c r="F64" s="45">
        <f t="shared" si="14"/>
        <v>107147</v>
      </c>
      <c r="G64" s="64">
        <f t="shared" si="14"/>
        <v>17523.558536324032</v>
      </c>
      <c r="H64" s="64">
        <f t="shared" si="14"/>
        <v>-72021.652874857915</v>
      </c>
      <c r="I64" s="64">
        <f t="shared" si="14"/>
        <v>-161546.0918922422</v>
      </c>
      <c r="J64" s="64">
        <f t="shared" si="14"/>
        <v>-251055.42634771366</v>
      </c>
      <c r="K64" s="64">
        <f t="shared" si="14"/>
        <v>-340547.23951136612</v>
      </c>
    </row>
    <row r="65" spans="3:13" x14ac:dyDescent="0.25">
      <c r="D65" s="42"/>
      <c r="E65" s="42"/>
      <c r="F65" s="42"/>
    </row>
    <row r="66" spans="3:13" x14ac:dyDescent="0.25">
      <c r="C66" s="20" t="s">
        <v>59</v>
      </c>
      <c r="D66" s="46"/>
      <c r="E66" s="46">
        <f>ROUND(E51-E59-E64,3)</f>
        <v>0</v>
      </c>
      <c r="F66" s="46">
        <f t="shared" ref="F66:K66" si="15">ROUND(F51-F59-F64,3)</f>
        <v>0</v>
      </c>
      <c r="G66" s="46">
        <f t="shared" si="15"/>
        <v>0</v>
      </c>
      <c r="H66" s="46">
        <f t="shared" si="15"/>
        <v>0</v>
      </c>
      <c r="I66" s="46">
        <f t="shared" si="15"/>
        <v>0</v>
      </c>
      <c r="J66" s="46">
        <f t="shared" si="15"/>
        <v>0</v>
      </c>
      <c r="K66" s="46">
        <f t="shared" si="15"/>
        <v>0</v>
      </c>
    </row>
    <row r="67" spans="3:13" x14ac:dyDescent="0.25">
      <c r="E67" s="42"/>
      <c r="F67" s="42"/>
      <c r="H67" s="42"/>
      <c r="I67" s="42"/>
      <c r="J67" s="42"/>
      <c r="K67" s="42"/>
    </row>
    <row r="68" spans="3:13" x14ac:dyDescent="0.25">
      <c r="C68" s="14" t="s">
        <v>135</v>
      </c>
      <c r="D68" s="35"/>
      <c r="E68" s="35"/>
      <c r="F68" s="35"/>
      <c r="G68" s="35"/>
      <c r="H68" s="35"/>
      <c r="I68" s="35"/>
      <c r="J68" s="35"/>
      <c r="K68" s="35"/>
    </row>
    <row r="69" spans="3:13" x14ac:dyDescent="0.25">
      <c r="C69" s="36" t="str">
        <f>C14</f>
        <v xml:space="preserve">Fiscal year  </v>
      </c>
      <c r="D69" s="37"/>
      <c r="E69" s="37"/>
      <c r="F69" s="37"/>
      <c r="G69" s="60">
        <f t="shared" ref="G69:K70" si="16">G14</f>
        <v>2026</v>
      </c>
      <c r="H69" s="60">
        <f t="shared" si="16"/>
        <v>2027</v>
      </c>
      <c r="I69" s="60">
        <f t="shared" si="16"/>
        <v>2028</v>
      </c>
      <c r="J69" s="60">
        <f t="shared" si="16"/>
        <v>2029</v>
      </c>
      <c r="K69" s="60">
        <f t="shared" si="16"/>
        <v>2030</v>
      </c>
    </row>
    <row r="70" spans="3:13" x14ac:dyDescent="0.25">
      <c r="C70" s="15" t="str">
        <f>C15</f>
        <v>Fiscal year end date</v>
      </c>
      <c r="D70" s="38"/>
      <c r="E70" s="38"/>
      <c r="F70" s="38"/>
      <c r="G70" s="38">
        <f t="shared" si="16"/>
        <v>0</v>
      </c>
      <c r="H70" s="38">
        <f t="shared" si="16"/>
        <v>0</v>
      </c>
      <c r="I70" s="38">
        <f t="shared" si="16"/>
        <v>0</v>
      </c>
      <c r="J70" s="38">
        <f t="shared" si="16"/>
        <v>0</v>
      </c>
      <c r="K70" s="38">
        <f t="shared" si="16"/>
        <v>0</v>
      </c>
    </row>
    <row r="72" spans="3:13" x14ac:dyDescent="0.25">
      <c r="C72" t="s">
        <v>21</v>
      </c>
      <c r="D72" s="40"/>
      <c r="E72" s="40"/>
      <c r="F72" s="40"/>
      <c r="G72" s="62">
        <f>G28</f>
        <v>-9205.0592238700974</v>
      </c>
      <c r="H72" s="62">
        <f>H28</f>
        <v>-10327.616350074644</v>
      </c>
      <c r="I72" s="62">
        <f>I28</f>
        <v>-11518.588746499794</v>
      </c>
      <c r="J72" s="62">
        <f>J28</f>
        <v>-12909.108141245397</v>
      </c>
      <c r="K72" s="62">
        <f>K28</f>
        <v>-14522.110639150291</v>
      </c>
      <c r="M72" s="25"/>
    </row>
    <row r="73" spans="3:13" x14ac:dyDescent="0.25">
      <c r="C73" t="s">
        <v>136</v>
      </c>
      <c r="D73" s="40"/>
      <c r="E73" s="40"/>
      <c r="F73" s="40"/>
      <c r="G73" s="62">
        <f>G30</f>
        <v>11459.118873431809</v>
      </c>
      <c r="H73" s="62">
        <f>H30</f>
        <v>12354.117667158989</v>
      </c>
      <c r="I73" s="62">
        <f>I30</f>
        <v>13119.804125783041</v>
      </c>
      <c r="J73" s="62">
        <f>J30</f>
        <v>15539.573585908327</v>
      </c>
      <c r="K73" s="62">
        <f>K30</f>
        <v>18397.80228765366</v>
      </c>
      <c r="M73" t="s">
        <v>168</v>
      </c>
    </row>
    <row r="74" spans="3:13" x14ac:dyDescent="0.25">
      <c r="C74" t="s">
        <v>26</v>
      </c>
      <c r="D74" s="40"/>
      <c r="E74" s="40"/>
      <c r="F74" s="40"/>
      <c r="G74" s="62">
        <f>G32</f>
        <v>6372.6177601941336</v>
      </c>
      <c r="H74" s="62">
        <f>H32</f>
        <v>7573.4049388926851</v>
      </c>
      <c r="I74" s="62">
        <f>I32</f>
        <v>8785.1497291155138</v>
      </c>
      <c r="J74" s="62">
        <f>J32</f>
        <v>10190.773685773995</v>
      </c>
      <c r="K74" s="62">
        <f>K32</f>
        <v>11821.297475497833</v>
      </c>
    </row>
    <row r="75" spans="3:13" x14ac:dyDescent="0.25">
      <c r="C75" t="s">
        <v>137</v>
      </c>
      <c r="D75" s="42"/>
      <c r="E75" s="42"/>
      <c r="F75" s="42"/>
      <c r="G75" s="62">
        <f>-1*(SUM(G46:G48)-SUM(F46:F48))</f>
        <v>-3162.4329217244813</v>
      </c>
      <c r="H75" s="62">
        <f>-1*(SUM(H46:H48)-SUM(G46:G48))</f>
        <v>-12850.952075870708</v>
      </c>
      <c r="I75" s="62">
        <f>-1*(SUM(I46:I48)-SUM(H46:H48))</f>
        <v>-12968.221599615237</v>
      </c>
      <c r="J75" s="62">
        <f>-1*(SUM(J46:J48)-SUM(I46:I48))</f>
        <v>-15043.137055553656</v>
      </c>
      <c r="K75" s="62">
        <f>-1*(SUM(K46:K48)-SUM(J46:J48))</f>
        <v>-17450.038984442232</v>
      </c>
    </row>
    <row r="76" spans="3:13" x14ac:dyDescent="0.25">
      <c r="C76" t="s">
        <v>138</v>
      </c>
      <c r="D76" s="42"/>
      <c r="E76" s="42"/>
      <c r="F76" s="42"/>
      <c r="G76" s="62">
        <f>SUM(G53:G55)-SUM(F53:F55)</f>
        <v>-113871.04263607769</v>
      </c>
      <c r="H76" s="62">
        <f>SUM(H53:H55)-SUM(G53:G55)</f>
        <v>-2818.154943114605</v>
      </c>
      <c r="I76" s="62">
        <f>SUM(I53:I55)-SUM(H53:H55)</f>
        <v>-2843.8716126707768</v>
      </c>
      <c r="J76" s="62">
        <f>SUM(J53:J55)-SUM(I53:I55)</f>
        <v>-3298.8910706980969</v>
      </c>
      <c r="K76" s="62">
        <f>SUM(K53:K55)-SUM(J53:J55)</f>
        <v>-3826.713642009774</v>
      </c>
    </row>
    <row r="77" spans="3:13" x14ac:dyDescent="0.25">
      <c r="C77" t="s">
        <v>46</v>
      </c>
      <c r="G77" s="62">
        <f>-(G111)</f>
        <v>-6221.9340486885922</v>
      </c>
      <c r="H77" s="62">
        <f>-(H111)</f>
        <v>-7284.140228461576</v>
      </c>
      <c r="I77" s="62">
        <f>-(I111)</f>
        <v>-7693.6150142897932</v>
      </c>
      <c r="J77" s="62">
        <f>-(J111)</f>
        <v>-8924.5934165761573</v>
      </c>
      <c r="K77" s="62">
        <f>-(K111)</f>
        <v>-10352.528363228339</v>
      </c>
      <c r="M77" t="s">
        <v>169</v>
      </c>
    </row>
    <row r="78" spans="3:13" x14ac:dyDescent="0.25">
      <c r="C78" t="s">
        <v>53</v>
      </c>
      <c r="G78" s="62">
        <f>G58-F58</f>
        <v>8736.642398046999</v>
      </c>
      <c r="H78" s="62">
        <f>H58-G58</f>
        <v>10159.469051236061</v>
      </c>
      <c r="I78" s="62">
        <f>I58-H58</f>
        <v>10252.177831885281</v>
      </c>
      <c r="J78" s="62">
        <f>J58-I58</f>
        <v>11892.526284986932</v>
      </c>
      <c r="K78" s="62">
        <f>K58-J58</f>
        <v>13795.330490584834</v>
      </c>
      <c r="M78" s="25"/>
    </row>
    <row r="79" spans="3:13" x14ac:dyDescent="0.25">
      <c r="C79" s="25" t="s">
        <v>139</v>
      </c>
      <c r="G79" s="64">
        <f>SUM(G72:G78)</f>
        <v>-105892.08979868793</v>
      </c>
      <c r="H79" s="64">
        <f>SUM(H72:H78)</f>
        <v>-3193.8719402337974</v>
      </c>
      <c r="I79" s="64">
        <f>SUM(I72:I78)</f>
        <v>-2867.1652862917654</v>
      </c>
      <c r="J79" s="64">
        <f>SUM(J72:J78)</f>
        <v>-2552.856127404053</v>
      </c>
      <c r="K79" s="64">
        <f>SUM(K72:K78)</f>
        <v>-2136.9613750943081</v>
      </c>
    </row>
    <row r="80" spans="3:13" x14ac:dyDescent="0.25">
      <c r="G80" s="42"/>
      <c r="H80" s="42"/>
      <c r="I80" s="42"/>
      <c r="J80" s="42"/>
      <c r="K80" s="42"/>
    </row>
    <row r="81" spans="3:13" x14ac:dyDescent="0.25">
      <c r="C81" t="s">
        <v>140</v>
      </c>
      <c r="G81" s="62">
        <f>-(G97)</f>
        <v>-13285</v>
      </c>
      <c r="H81" s="62">
        <f>-(H97)</f>
        <v>-13649</v>
      </c>
      <c r="I81" s="62">
        <f>-(I97)</f>
        <v>-13819</v>
      </c>
      <c r="J81" s="62">
        <f>-(J97)</f>
        <v>-16030.039999999999</v>
      </c>
      <c r="K81" s="62">
        <f>-(K97)</f>
        <v>-18594.846399999999</v>
      </c>
      <c r="M81" t="s">
        <v>114</v>
      </c>
    </row>
    <row r="82" spans="3:13" x14ac:dyDescent="0.25">
      <c r="C82" s="25" t="s">
        <v>141</v>
      </c>
      <c r="G82" s="64">
        <f>IFERROR(G81,"NA")</f>
        <v>-13285</v>
      </c>
      <c r="H82" s="64">
        <f>IFERROR(H81,"NA")</f>
        <v>-13649</v>
      </c>
      <c r="I82" s="64">
        <f>IFERROR(I81,"NA")</f>
        <v>-13819</v>
      </c>
      <c r="J82" s="64">
        <f>IFERROR(J81,"NA")</f>
        <v>-16030.039999999999</v>
      </c>
      <c r="K82" s="64">
        <f>IFERROR(K81,"NA")</f>
        <v>-18594.846399999999</v>
      </c>
    </row>
    <row r="83" spans="3:13" x14ac:dyDescent="0.25">
      <c r="G83" s="42"/>
      <c r="H83" s="42"/>
      <c r="I83" s="42"/>
      <c r="J83" s="42"/>
      <c r="K83" s="42"/>
    </row>
    <row r="84" spans="3:13" x14ac:dyDescent="0.25">
      <c r="C84" t="s">
        <v>142</v>
      </c>
      <c r="G84" s="62">
        <f>G57-F57</f>
        <v>0</v>
      </c>
      <c r="H84" s="62">
        <f>H57-G57</f>
        <v>0</v>
      </c>
      <c r="I84" s="62">
        <f>I57-H57</f>
        <v>0</v>
      </c>
      <c r="J84" s="62">
        <f>J57-I57</f>
        <v>0</v>
      </c>
      <c r="K84" s="62">
        <f>K57-J57</f>
        <v>0</v>
      </c>
    </row>
    <row r="85" spans="3:13" x14ac:dyDescent="0.25">
      <c r="C85" t="s">
        <v>143</v>
      </c>
      <c r="G85" s="86">
        <f>G56-F56</f>
        <v>30868.089798687928</v>
      </c>
      <c r="H85" s="86">
        <f>H56-G56</f>
        <v>103633.8719402338</v>
      </c>
      <c r="I85" s="86">
        <f>I56-H56</f>
        <v>103477.16528629177</v>
      </c>
      <c r="J85" s="86">
        <f>J56-I56</f>
        <v>105373.89612740406</v>
      </c>
      <c r="K85" s="86">
        <f>K56-J56</f>
        <v>107522.80777509429</v>
      </c>
      <c r="M85" t="s">
        <v>170</v>
      </c>
    </row>
    <row r="86" spans="3:13" x14ac:dyDescent="0.25">
      <c r="C86" t="s">
        <v>144</v>
      </c>
      <c r="G86" s="62">
        <f>G118</f>
        <v>-73056</v>
      </c>
      <c r="H86" s="62">
        <f>H118</f>
        <v>-73056</v>
      </c>
      <c r="I86" s="62">
        <f>I118</f>
        <v>-73056</v>
      </c>
      <c r="J86" s="62">
        <f>J118</f>
        <v>-73056</v>
      </c>
      <c r="K86" s="62">
        <f>K118</f>
        <v>-73056</v>
      </c>
      <c r="M86" t="s">
        <v>117</v>
      </c>
    </row>
    <row r="87" spans="3:13" x14ac:dyDescent="0.25">
      <c r="C87" t="s">
        <v>145</v>
      </c>
      <c r="G87" s="62">
        <f>G117</f>
        <v>-13735</v>
      </c>
      <c r="H87" s="62">
        <f>H117</f>
        <v>-13735</v>
      </c>
      <c r="I87" s="62">
        <f>I117</f>
        <v>-13735</v>
      </c>
      <c r="J87" s="62">
        <f>J117</f>
        <v>-13735</v>
      </c>
      <c r="K87" s="62">
        <f>K117</f>
        <v>-13735</v>
      </c>
      <c r="M87" t="s">
        <v>117</v>
      </c>
    </row>
    <row r="88" spans="3:13" x14ac:dyDescent="0.25">
      <c r="C88" s="25" t="s">
        <v>146</v>
      </c>
      <c r="G88" s="64">
        <f>SUM(G84:G87)</f>
        <v>-55922.910201312072</v>
      </c>
      <c r="H88" s="64">
        <f>SUM(H84:H87)</f>
        <v>16842.871940233803</v>
      </c>
      <c r="I88" s="64">
        <f>SUM(I84:I87)</f>
        <v>16686.165286291769</v>
      </c>
      <c r="J88" s="64">
        <f>SUM(J84:J87)</f>
        <v>18582.896127404063</v>
      </c>
      <c r="K88" s="64">
        <f>SUM(K84:K87)</f>
        <v>20731.80777509429</v>
      </c>
    </row>
    <row r="89" spans="3:13" x14ac:dyDescent="0.25">
      <c r="G89" s="42"/>
      <c r="H89" s="42"/>
      <c r="I89" s="42"/>
      <c r="J89" s="42"/>
      <c r="K89" s="42"/>
    </row>
    <row r="90" spans="3:13" x14ac:dyDescent="0.25">
      <c r="C90" s="25" t="s">
        <v>147</v>
      </c>
      <c r="G90" s="64">
        <f>G79+G82+G88</f>
        <v>-175100</v>
      </c>
      <c r="H90" s="64">
        <f>H79+H82+H88</f>
        <v>0</v>
      </c>
      <c r="I90" s="64">
        <f>I79+I82+I88</f>
        <v>0</v>
      </c>
      <c r="J90" s="64">
        <f>J79+J82+J88</f>
        <v>0</v>
      </c>
      <c r="K90" s="64">
        <f>K79+K82+K88</f>
        <v>0</v>
      </c>
    </row>
    <row r="92" spans="3:13" x14ac:dyDescent="0.25">
      <c r="C92" s="14" t="s">
        <v>148</v>
      </c>
      <c r="D92" s="15"/>
      <c r="E92" s="15"/>
      <c r="F92" s="15"/>
      <c r="G92" s="15"/>
      <c r="H92" s="15"/>
      <c r="I92" s="15"/>
      <c r="J92" s="15"/>
      <c r="K92" s="15"/>
    </row>
    <row r="93" spans="3:13" x14ac:dyDescent="0.25">
      <c r="C93" s="36" t="str">
        <f t="shared" ref="C93:K94" si="17">C14</f>
        <v xml:space="preserve">Fiscal year  </v>
      </c>
      <c r="D93" s="37">
        <f t="shared" si="17"/>
        <v>0</v>
      </c>
      <c r="E93" s="37">
        <f t="shared" si="17"/>
        <v>2024</v>
      </c>
      <c r="F93" s="37">
        <f t="shared" si="17"/>
        <v>2025</v>
      </c>
      <c r="G93" s="60">
        <f t="shared" si="17"/>
        <v>2026</v>
      </c>
      <c r="H93" s="60">
        <f t="shared" si="17"/>
        <v>2027</v>
      </c>
      <c r="I93" s="60">
        <f t="shared" si="17"/>
        <v>2028</v>
      </c>
      <c r="J93" s="60">
        <f t="shared" si="17"/>
        <v>2029</v>
      </c>
      <c r="K93" s="60">
        <f t="shared" si="17"/>
        <v>2030</v>
      </c>
    </row>
    <row r="94" spans="3:13" x14ac:dyDescent="0.25">
      <c r="C94" s="15" t="str">
        <f t="shared" si="17"/>
        <v>Fiscal year end date</v>
      </c>
      <c r="D94" s="38">
        <f t="shared" si="17"/>
        <v>0</v>
      </c>
      <c r="E94" s="38">
        <f t="shared" si="17"/>
        <v>0</v>
      </c>
      <c r="F94" s="38">
        <f t="shared" si="17"/>
        <v>0</v>
      </c>
      <c r="G94" s="38">
        <f t="shared" si="17"/>
        <v>0</v>
      </c>
      <c r="H94" s="38">
        <f t="shared" si="17"/>
        <v>0</v>
      </c>
      <c r="I94" s="38">
        <f t="shared" si="17"/>
        <v>0</v>
      </c>
      <c r="J94" s="38">
        <f t="shared" si="17"/>
        <v>0</v>
      </c>
      <c r="K94" s="38">
        <f t="shared" si="17"/>
        <v>0</v>
      </c>
    </row>
    <row r="95" spans="3:13" x14ac:dyDescent="0.25">
      <c r="C95" s="25"/>
      <c r="G95" s="61" t="s">
        <v>118</v>
      </c>
      <c r="H95" s="61"/>
      <c r="I95" s="61"/>
      <c r="J95" s="61"/>
      <c r="K95" s="61"/>
    </row>
    <row r="96" spans="3:13" x14ac:dyDescent="0.25">
      <c r="C96" s="29" t="s">
        <v>149</v>
      </c>
      <c r="G96" s="62">
        <f>F99</f>
        <v>41304</v>
      </c>
      <c r="H96" s="62">
        <f>G99</f>
        <v>45042.85982873883</v>
      </c>
      <c r="I96" s="62">
        <f>H99</f>
        <v>48611.181883872909</v>
      </c>
      <c r="J96" s="62">
        <f>I99</f>
        <v>51947.567835949827</v>
      </c>
      <c r="K96" s="62">
        <f>J99</f>
        <v>55497.174740359042</v>
      </c>
      <c r="M96" t="s">
        <v>119</v>
      </c>
    </row>
    <row r="97" spans="3:17" x14ac:dyDescent="0.25">
      <c r="C97" s="73" t="s">
        <v>150</v>
      </c>
      <c r="D97" s="39">
        <v>12734</v>
      </c>
      <c r="E97" s="39">
        <v>12451</v>
      </c>
      <c r="F97" s="39">
        <v>13313</v>
      </c>
      <c r="G97" s="39">
        <v>13285</v>
      </c>
      <c r="H97" s="39">
        <v>13649</v>
      </c>
      <c r="I97" s="39">
        <v>13819</v>
      </c>
      <c r="J97" s="39">
        <f>I97*(1+J36)</f>
        <v>16030.039999999999</v>
      </c>
      <c r="K97" s="39">
        <f t="shared" ref="K97" si="18">J97*(1+K36)</f>
        <v>18594.846399999999</v>
      </c>
      <c r="M97" t="s">
        <v>120</v>
      </c>
    </row>
    <row r="98" spans="3:17" x14ac:dyDescent="0.25">
      <c r="C98" s="74" t="s">
        <v>151</v>
      </c>
      <c r="D98" s="75">
        <v>-8300</v>
      </c>
      <c r="E98" s="75">
        <v>-8200</v>
      </c>
      <c r="F98" s="75">
        <v>-9300</v>
      </c>
      <c r="G98" s="63">
        <f>-(G101*G97)</f>
        <v>-9546.1401712611732</v>
      </c>
      <c r="H98" s="63">
        <f>-(H101*H97)</f>
        <v>-10080.677944865922</v>
      </c>
      <c r="I98" s="63">
        <f>-(I101*I97)</f>
        <v>-10482.614047923083</v>
      </c>
      <c r="J98" s="63">
        <f>-(J101*J97)</f>
        <v>-12480.433095590777</v>
      </c>
      <c r="K98" s="63">
        <f>-(K101*K97)</f>
        <v>-14849.199318885301</v>
      </c>
      <c r="M98" t="s">
        <v>121</v>
      </c>
    </row>
    <row r="99" spans="3:17" x14ac:dyDescent="0.25">
      <c r="C99" s="76" t="s">
        <v>152</v>
      </c>
      <c r="D99" s="45"/>
      <c r="E99" s="45">
        <f>E49</f>
        <v>33783</v>
      </c>
      <c r="F99" s="45">
        <f>F49</f>
        <v>41304</v>
      </c>
      <c r="G99" s="64">
        <f>SUM(G96:G98)</f>
        <v>45042.85982873883</v>
      </c>
      <c r="H99" s="64">
        <f>SUM(H96:H98)</f>
        <v>48611.181883872909</v>
      </c>
      <c r="I99" s="64">
        <f>SUM(I96:I98)</f>
        <v>51947.567835949827</v>
      </c>
      <c r="J99" s="64">
        <f>SUM(J96:J98)</f>
        <v>55497.174740359042</v>
      </c>
      <c r="K99" s="64">
        <f>SUM(K96:K98)</f>
        <v>59242.821821473735</v>
      </c>
      <c r="M99" t="s">
        <v>122</v>
      </c>
    </row>
    <row r="100" spans="3:17" x14ac:dyDescent="0.25">
      <c r="C100" s="29"/>
      <c r="M100" s="31" t="s">
        <v>123</v>
      </c>
    </row>
    <row r="101" spans="3:17" x14ac:dyDescent="0.25">
      <c r="C101" s="29" t="s">
        <v>153</v>
      </c>
      <c r="D101" s="77">
        <f>-(D98/D97)</f>
        <v>0.65179833516569818</v>
      </c>
      <c r="E101" s="77">
        <f>-(E98/E97)</f>
        <v>0.6585816400289134</v>
      </c>
      <c r="F101" s="77">
        <f>-(F98/F97)</f>
        <v>0.69856531210095396</v>
      </c>
      <c r="G101" s="65">
        <f>F101+$M$101</f>
        <v>0.71856531210095398</v>
      </c>
      <c r="H101" s="65">
        <f>G101+$M$101</f>
        <v>0.738565312100954</v>
      </c>
      <c r="I101" s="65">
        <f>H101+$M$101</f>
        <v>0.75856531210095401</v>
      </c>
      <c r="J101" s="65">
        <f>I101+$M$101</f>
        <v>0.77856531210095403</v>
      </c>
      <c r="K101" s="65">
        <f>J101+$M$101</f>
        <v>0.79856531210095405</v>
      </c>
      <c r="M101" s="66">
        <v>0.02</v>
      </c>
      <c r="O101" s="68"/>
      <c r="P101" s="68"/>
      <c r="Q101" s="68"/>
    </row>
    <row r="102" spans="3:17" x14ac:dyDescent="0.25">
      <c r="C102" s="29"/>
      <c r="D102" s="77"/>
      <c r="E102" s="77"/>
      <c r="F102" s="77"/>
      <c r="G102" s="67"/>
      <c r="H102" s="67"/>
      <c r="I102" s="67"/>
      <c r="J102" s="67"/>
      <c r="K102" s="67"/>
      <c r="O102" s="68"/>
      <c r="P102" s="68"/>
      <c r="Q102" s="68"/>
    </row>
    <row r="103" spans="3:17" x14ac:dyDescent="0.25">
      <c r="C103" s="78" t="s">
        <v>154</v>
      </c>
      <c r="D103" s="79"/>
      <c r="E103" s="79"/>
      <c r="F103" s="79"/>
      <c r="G103" s="69"/>
      <c r="H103" s="69"/>
      <c r="I103" s="69"/>
      <c r="J103" s="69"/>
      <c r="K103" s="69"/>
      <c r="O103" s="68"/>
      <c r="P103" s="68"/>
      <c r="Q103" s="68"/>
    </row>
    <row r="104" spans="3:17" x14ac:dyDescent="0.25">
      <c r="C104" s="29" t="s">
        <v>155</v>
      </c>
      <c r="D104" s="42">
        <f>D106+D98</f>
        <v>2205</v>
      </c>
      <c r="E104" s="42">
        <f>E106+E98</f>
        <v>1957</v>
      </c>
      <c r="F104" s="42">
        <f>F106+F98</f>
        <v>1603</v>
      </c>
      <c r="G104" s="70">
        <f>G105*G17</f>
        <v>1912.9787021706361</v>
      </c>
      <c r="H104" s="70">
        <f>H105*H17</f>
        <v>2273.4397222930666</v>
      </c>
      <c r="I104" s="70">
        <f>I105*I17</f>
        <v>2637.190077859957</v>
      </c>
      <c r="J104" s="70">
        <f>J105*J17</f>
        <v>3059.1404903175503</v>
      </c>
      <c r="K104" s="70">
        <f>K105*K17</f>
        <v>3548.6029687683581</v>
      </c>
      <c r="M104" t="s">
        <v>124</v>
      </c>
      <c r="O104" s="68"/>
      <c r="P104" s="68"/>
      <c r="Q104" s="68"/>
    </row>
    <row r="105" spans="3:17" x14ac:dyDescent="0.25">
      <c r="C105" s="28" t="s">
        <v>156</v>
      </c>
      <c r="D105" s="80" t="e">
        <f>D104/D17</f>
        <v>#DIV/0!</v>
      </c>
      <c r="E105" s="80">
        <f>E104/E17</f>
        <v>0.1581400084524501</v>
      </c>
      <c r="F105" s="80">
        <f>F104/F17</f>
        <v>9.3553340286122652E-2</v>
      </c>
      <c r="G105" s="65">
        <f>F105</f>
        <v>9.3553340286122652E-2</v>
      </c>
      <c r="H105" s="65">
        <f>G105</f>
        <v>9.3553340286122652E-2</v>
      </c>
      <c r="I105" s="65">
        <f>H105</f>
        <v>9.3553340286122652E-2</v>
      </c>
      <c r="J105" s="65">
        <f>I105</f>
        <v>9.3553340286122652E-2</v>
      </c>
      <c r="K105" s="65">
        <f>J105</f>
        <v>9.3553340286122652E-2</v>
      </c>
      <c r="M105" t="s">
        <v>125</v>
      </c>
    </row>
    <row r="106" spans="3:17" x14ac:dyDescent="0.25">
      <c r="C106" s="30" t="s">
        <v>157</v>
      </c>
      <c r="D106" s="45">
        <f>D30</f>
        <v>10505</v>
      </c>
      <c r="E106" s="45">
        <f>E30</f>
        <v>10157</v>
      </c>
      <c r="F106" s="45">
        <f>F30</f>
        <v>10903</v>
      </c>
      <c r="G106" s="27">
        <f>-G98+G104</f>
        <v>11459.118873431809</v>
      </c>
      <c r="H106" s="27">
        <f>-H98+H104</f>
        <v>12354.117667158989</v>
      </c>
      <c r="I106" s="27">
        <f>-I98+I104</f>
        <v>13119.804125783041</v>
      </c>
      <c r="J106" s="27">
        <f>-J98+J104</f>
        <v>15539.573585908327</v>
      </c>
      <c r="K106" s="27">
        <f>-K98+K104</f>
        <v>18397.80228765366</v>
      </c>
      <c r="M106" t="s">
        <v>126</v>
      </c>
    </row>
    <row r="107" spans="3:17" x14ac:dyDescent="0.25">
      <c r="C107" s="29"/>
      <c r="D107" s="42"/>
      <c r="E107" s="42"/>
      <c r="F107" s="42"/>
      <c r="H107" s="42"/>
      <c r="I107" s="42"/>
      <c r="J107" s="42"/>
      <c r="K107" s="42"/>
    </row>
    <row r="108" spans="3:17" x14ac:dyDescent="0.25">
      <c r="C108" s="81" t="s">
        <v>158</v>
      </c>
      <c r="D108" s="15"/>
      <c r="E108" s="15"/>
      <c r="F108" s="15"/>
      <c r="H108" s="42"/>
      <c r="I108" s="42"/>
      <c r="J108" s="42"/>
      <c r="K108" s="42"/>
    </row>
    <row r="109" spans="3:17" x14ac:dyDescent="0.25">
      <c r="C109" s="29" t="s">
        <v>149</v>
      </c>
      <c r="D109" s="42"/>
      <c r="G109" s="71">
        <f>F112</f>
        <v>22283</v>
      </c>
      <c r="H109" s="71">
        <f>G112</f>
        <v>26591.955346517956</v>
      </c>
      <c r="I109" s="71">
        <f>H112</f>
        <v>31602.655852686465</v>
      </c>
      <c r="J109" s="71">
        <f>I112</f>
        <v>36659.080789116299</v>
      </c>
      <c r="K109" s="71">
        <f>J112</f>
        <v>42524.533715374906</v>
      </c>
      <c r="M109" t="s">
        <v>119</v>
      </c>
    </row>
    <row r="110" spans="3:17" x14ac:dyDescent="0.25">
      <c r="C110" s="28" t="s">
        <v>171</v>
      </c>
      <c r="G110" s="42">
        <f>-(G104)</f>
        <v>-1912.9787021706361</v>
      </c>
      <c r="H110" s="42">
        <f>-(H104)</f>
        <v>-2273.4397222930666</v>
      </c>
      <c r="I110" s="42">
        <f>-(I104)</f>
        <v>-2637.190077859957</v>
      </c>
      <c r="J110" s="42">
        <f>-(J104)</f>
        <v>-3059.1404903175503</v>
      </c>
      <c r="K110" s="42">
        <f>-(K104)</f>
        <v>-3548.6029687683581</v>
      </c>
      <c r="M110" t="s">
        <v>127</v>
      </c>
    </row>
    <row r="111" spans="3:17" x14ac:dyDescent="0.25">
      <c r="C111" s="82" t="s">
        <v>159</v>
      </c>
      <c r="D111" s="83"/>
      <c r="E111" s="83"/>
      <c r="F111" s="83"/>
      <c r="G111" s="72">
        <f>G112-G110-G109</f>
        <v>6221.9340486885922</v>
      </c>
      <c r="H111" s="72">
        <f>H112-H110-H109</f>
        <v>7284.140228461576</v>
      </c>
      <c r="I111" s="72">
        <f>I112-I110-I109</f>
        <v>7693.6150142897932</v>
      </c>
      <c r="J111" s="72">
        <f>J112-J110-J109</f>
        <v>8924.5934165761573</v>
      </c>
      <c r="K111" s="72">
        <f>K112-K110-K109</f>
        <v>10352.528363228339</v>
      </c>
      <c r="M111" t="s">
        <v>128</v>
      </c>
    </row>
    <row r="112" spans="3:17" x14ac:dyDescent="0.25">
      <c r="C112" s="76" t="s">
        <v>152</v>
      </c>
      <c r="E112" s="45">
        <f t="shared" ref="E112:K112" si="19">E50</f>
        <v>18177</v>
      </c>
      <c r="F112" s="45">
        <f t="shared" si="19"/>
        <v>22283</v>
      </c>
      <c r="G112" s="45">
        <f t="shared" si="19"/>
        <v>26591.955346517956</v>
      </c>
      <c r="H112" s="45">
        <f t="shared" si="19"/>
        <v>31602.655852686465</v>
      </c>
      <c r="I112" s="45">
        <f t="shared" si="19"/>
        <v>36659.080789116299</v>
      </c>
      <c r="J112" s="45">
        <f t="shared" si="19"/>
        <v>42524.533715374906</v>
      </c>
      <c r="K112" s="45">
        <f t="shared" si="19"/>
        <v>49328.45910983489</v>
      </c>
      <c r="M112" t="s">
        <v>129</v>
      </c>
    </row>
    <row r="113" spans="3:17" x14ac:dyDescent="0.25">
      <c r="C113" s="28"/>
      <c r="E113" s="42"/>
      <c r="F113" s="42"/>
      <c r="H113" s="42"/>
      <c r="I113" s="42"/>
      <c r="J113" s="42"/>
      <c r="K113" s="42"/>
    </row>
    <row r="114" spans="3:17" x14ac:dyDescent="0.25">
      <c r="C114" s="84" t="s">
        <v>160</v>
      </c>
      <c r="D114" s="81"/>
      <c r="E114" s="81"/>
      <c r="F114" s="81"/>
      <c r="G114" s="15"/>
      <c r="H114" s="15"/>
      <c r="I114" s="15"/>
      <c r="J114" s="15"/>
      <c r="K114" s="15"/>
    </row>
    <row r="115" spans="3:17" x14ac:dyDescent="0.25">
      <c r="C115" s="29" t="s">
        <v>149</v>
      </c>
      <c r="G115" s="62">
        <f>F119</f>
        <v>70400</v>
      </c>
      <c r="H115" s="62">
        <f>G119</f>
        <v>-25596.059223870099</v>
      </c>
      <c r="I115" s="62">
        <f>H119</f>
        <v>-122714.67557394474</v>
      </c>
      <c r="J115" s="62">
        <f>I119</f>
        <v>-221024.26432044455</v>
      </c>
      <c r="K115" s="62">
        <f>J119</f>
        <v>-320724.37246168999</v>
      </c>
      <c r="M115" t="s">
        <v>119</v>
      </c>
    </row>
    <row r="116" spans="3:17" x14ac:dyDescent="0.25">
      <c r="C116" s="28" t="s">
        <v>161</v>
      </c>
      <c r="D116" s="44">
        <f t="shared" ref="D116:K116" si="20">D28</f>
        <v>-38576</v>
      </c>
      <c r="E116" s="44">
        <f t="shared" si="20"/>
        <v>-36126.53</v>
      </c>
      <c r="F116" s="44">
        <f t="shared" si="20"/>
        <v>-37066.160000000003</v>
      </c>
      <c r="G116" s="62">
        <f t="shared" si="20"/>
        <v>-9205.0592238700974</v>
      </c>
      <c r="H116" s="62">
        <f t="shared" si="20"/>
        <v>-10327.616350074644</v>
      </c>
      <c r="I116" s="62">
        <f t="shared" si="20"/>
        <v>-11518.588746499794</v>
      </c>
      <c r="J116" s="62">
        <f t="shared" si="20"/>
        <v>-12909.108141245397</v>
      </c>
      <c r="K116" s="62">
        <f t="shared" si="20"/>
        <v>-14522.110639150291</v>
      </c>
      <c r="M116" t="s">
        <v>130</v>
      </c>
    </row>
    <row r="117" spans="3:17" x14ac:dyDescent="0.25">
      <c r="C117" s="28" t="s">
        <v>162</v>
      </c>
      <c r="D117" s="39">
        <v>-12188</v>
      </c>
      <c r="E117" s="39">
        <v>-12803</v>
      </c>
      <c r="F117" s="39">
        <v>-13735</v>
      </c>
      <c r="G117" s="62">
        <f t="shared" ref="G117:K118" si="21">F117</f>
        <v>-13735</v>
      </c>
      <c r="H117" s="62">
        <f t="shared" si="21"/>
        <v>-13735</v>
      </c>
      <c r="I117" s="62">
        <f t="shared" si="21"/>
        <v>-13735</v>
      </c>
      <c r="J117" s="62">
        <f t="shared" si="21"/>
        <v>-13735</v>
      </c>
      <c r="K117" s="62">
        <f t="shared" si="21"/>
        <v>-13735</v>
      </c>
      <c r="M117" t="s">
        <v>131</v>
      </c>
    </row>
    <row r="118" spans="3:17" x14ac:dyDescent="0.25">
      <c r="C118" s="82" t="s">
        <v>163</v>
      </c>
      <c r="D118" s="75">
        <v>-29000</v>
      </c>
      <c r="E118" s="75">
        <v>-33001</v>
      </c>
      <c r="F118" s="75">
        <v>-73056</v>
      </c>
      <c r="G118" s="63">
        <f t="shared" si="21"/>
        <v>-73056</v>
      </c>
      <c r="H118" s="63">
        <f t="shared" si="21"/>
        <v>-73056</v>
      </c>
      <c r="I118" s="63">
        <f t="shared" si="21"/>
        <v>-73056</v>
      </c>
      <c r="J118" s="63">
        <f t="shared" si="21"/>
        <v>-73056</v>
      </c>
      <c r="K118" s="63">
        <f t="shared" si="21"/>
        <v>-73056</v>
      </c>
      <c r="M118" t="s">
        <v>132</v>
      </c>
    </row>
    <row r="119" spans="3:17" x14ac:dyDescent="0.25">
      <c r="C119" s="76" t="s">
        <v>152</v>
      </c>
      <c r="D119" s="41">
        <f>D62</f>
        <v>0</v>
      </c>
      <c r="E119" s="41">
        <f>E62</f>
        <v>98330</v>
      </c>
      <c r="F119" s="41">
        <f>F62</f>
        <v>70400</v>
      </c>
      <c r="G119" s="64">
        <f>SUM(G115:G118)</f>
        <v>-25596.059223870099</v>
      </c>
      <c r="H119" s="64">
        <f>SUM(H115:H118)</f>
        <v>-122714.67557394474</v>
      </c>
      <c r="I119" s="64">
        <f>SUM(I115:I118)</f>
        <v>-221024.26432044455</v>
      </c>
      <c r="J119" s="64">
        <f>SUM(J115:J118)</f>
        <v>-320724.37246168999</v>
      </c>
      <c r="K119" s="64">
        <f>SUM(K115:K118)</f>
        <v>-422037.4831008403</v>
      </c>
      <c r="M119" t="s">
        <v>133</v>
      </c>
    </row>
    <row r="120" spans="3:17" x14ac:dyDescent="0.25">
      <c r="E120" s="40"/>
      <c r="F120" s="40"/>
    </row>
    <row r="121" spans="3:17" x14ac:dyDescent="0.25">
      <c r="C121" s="14" t="s">
        <v>172</v>
      </c>
      <c r="D121" s="15"/>
      <c r="E121" s="15"/>
      <c r="F121" s="15"/>
      <c r="G121" s="15"/>
      <c r="H121" s="15"/>
      <c r="I121" s="15"/>
      <c r="J121" s="15"/>
      <c r="K121" s="15"/>
      <c r="O121" s="68"/>
      <c r="P121" s="68"/>
    </row>
    <row r="122" spans="3:17" x14ac:dyDescent="0.25">
      <c r="C122" s="36" t="str">
        <f t="shared" ref="C122:K123" si="22">C14</f>
        <v xml:space="preserve">Fiscal year  </v>
      </c>
      <c r="D122" s="37">
        <f t="shared" si="22"/>
        <v>0</v>
      </c>
      <c r="E122" s="37">
        <f t="shared" si="22"/>
        <v>2024</v>
      </c>
      <c r="F122" s="37">
        <f t="shared" si="22"/>
        <v>2025</v>
      </c>
      <c r="G122" s="60">
        <f t="shared" si="22"/>
        <v>2026</v>
      </c>
      <c r="H122" s="60">
        <f t="shared" si="22"/>
        <v>2027</v>
      </c>
      <c r="I122" s="60">
        <f t="shared" si="22"/>
        <v>2028</v>
      </c>
      <c r="J122" s="60">
        <f t="shared" si="22"/>
        <v>2029</v>
      </c>
      <c r="K122" s="60">
        <f t="shared" si="22"/>
        <v>2030</v>
      </c>
      <c r="O122" s="68"/>
      <c r="P122" s="68"/>
    </row>
    <row r="123" spans="3:17" x14ac:dyDescent="0.25">
      <c r="C123" s="15" t="str">
        <f t="shared" si="22"/>
        <v>Fiscal year end date</v>
      </c>
      <c r="D123" s="38">
        <f t="shared" si="22"/>
        <v>0</v>
      </c>
      <c r="E123" s="38">
        <f t="shared" si="22"/>
        <v>0</v>
      </c>
      <c r="F123" s="38">
        <f t="shared" si="22"/>
        <v>0</v>
      </c>
      <c r="G123" s="38">
        <f t="shared" si="22"/>
        <v>0</v>
      </c>
      <c r="H123" s="38">
        <f t="shared" si="22"/>
        <v>0</v>
      </c>
      <c r="I123" s="38">
        <f t="shared" si="22"/>
        <v>0</v>
      </c>
      <c r="J123" s="38">
        <f t="shared" si="22"/>
        <v>0</v>
      </c>
      <c r="K123" s="38">
        <f t="shared" si="22"/>
        <v>0</v>
      </c>
      <c r="O123" s="68"/>
      <c r="P123" s="68"/>
    </row>
    <row r="124" spans="3:17" x14ac:dyDescent="0.25">
      <c r="C124" s="25"/>
      <c r="O124" s="68"/>
      <c r="P124" s="68"/>
    </row>
    <row r="125" spans="3:17" x14ac:dyDescent="0.25">
      <c r="C125" s="31" t="s">
        <v>173</v>
      </c>
      <c r="O125" s="68"/>
      <c r="P125" s="68"/>
      <c r="Q125" s="68"/>
    </row>
    <row r="126" spans="3:17" x14ac:dyDescent="0.25">
      <c r="C126" s="28" t="s">
        <v>174</v>
      </c>
      <c r="G126" s="86">
        <f>F45</f>
        <v>237100</v>
      </c>
      <c r="H126" s="86">
        <f>G45</f>
        <v>62000</v>
      </c>
      <c r="I126" s="86">
        <f>H45</f>
        <v>62000</v>
      </c>
      <c r="J126" s="86">
        <f>I45</f>
        <v>62000</v>
      </c>
      <c r="K126" s="86">
        <f>J45</f>
        <v>62000</v>
      </c>
      <c r="M126" t="s">
        <v>175</v>
      </c>
      <c r="O126" s="68"/>
      <c r="P126" s="68"/>
    </row>
    <row r="127" spans="3:17" x14ac:dyDescent="0.25">
      <c r="C127" s="28" t="s">
        <v>176</v>
      </c>
      <c r="G127" s="39">
        <v>-50000</v>
      </c>
      <c r="H127" s="39">
        <v>-50000</v>
      </c>
      <c r="I127" s="39">
        <v>-50000</v>
      </c>
      <c r="J127" s="39">
        <v>-50000</v>
      </c>
      <c r="K127" s="39">
        <v>-50000</v>
      </c>
      <c r="M127" t="s">
        <v>177</v>
      </c>
      <c r="O127" s="68"/>
      <c r="P127" s="68"/>
    </row>
    <row r="128" spans="3:17" x14ac:dyDescent="0.25">
      <c r="C128" s="82" t="s">
        <v>178</v>
      </c>
      <c r="D128" s="83"/>
      <c r="E128" s="83"/>
      <c r="F128" s="83"/>
      <c r="G128" s="87">
        <f>SUM(G79,G82,G84,G86,G87)</f>
        <v>-205968.08979868793</v>
      </c>
      <c r="H128" s="87">
        <f>SUM(H79,H82,H84,H86,H87)</f>
        <v>-103633.8719402338</v>
      </c>
      <c r="I128" s="87">
        <f>SUM(I79,I82,I84,I86,I87)</f>
        <v>-103477.16528629177</v>
      </c>
      <c r="J128" s="87">
        <f>SUM(J79,J82,J84,J86,J87)</f>
        <v>-105373.89612740405</v>
      </c>
      <c r="K128" s="87">
        <f>SUM(K79,K82,K84,K86,K87)</f>
        <v>-107522.8077750943</v>
      </c>
      <c r="M128" t="s">
        <v>179</v>
      </c>
    </row>
    <row r="129" spans="3:19" x14ac:dyDescent="0.25">
      <c r="C129" s="76" t="s">
        <v>180</v>
      </c>
      <c r="G129" s="88">
        <f>SUM(G126:G128)</f>
        <v>-18868.089798687928</v>
      </c>
      <c r="H129" s="88">
        <f>SUM(H126:H128)</f>
        <v>-91633.871940233803</v>
      </c>
      <c r="I129" s="88">
        <f>SUM(I126:I128)</f>
        <v>-91477.165286291769</v>
      </c>
      <c r="J129" s="88">
        <f>SUM(J126:J128)</f>
        <v>-93373.896127404048</v>
      </c>
      <c r="K129" s="88">
        <f>SUM(K126:K128)</f>
        <v>-95522.807775094305</v>
      </c>
    </row>
    <row r="131" spans="3:19" x14ac:dyDescent="0.25">
      <c r="C131" s="25" t="s">
        <v>181</v>
      </c>
    </row>
    <row r="132" spans="3:19" x14ac:dyDescent="0.25">
      <c r="C132" s="28" t="s">
        <v>149</v>
      </c>
      <c r="G132" s="86">
        <f>F135</f>
        <v>11964</v>
      </c>
      <c r="H132" s="86">
        <f>G135</f>
        <v>42832.089798687928</v>
      </c>
      <c r="I132" s="86">
        <f>H135</f>
        <v>146465.96173892173</v>
      </c>
      <c r="J132" s="86">
        <f>I135</f>
        <v>249943.1270252135</v>
      </c>
      <c r="K132" s="86">
        <f>J135</f>
        <v>355317.02315261756</v>
      </c>
      <c r="M132" t="s">
        <v>119</v>
      </c>
    </row>
    <row r="133" spans="3:19" x14ac:dyDescent="0.25">
      <c r="C133" s="73" t="s">
        <v>182</v>
      </c>
      <c r="G133" s="86">
        <f>-MIN(G129,G132)</f>
        <v>18868.089798687928</v>
      </c>
      <c r="H133" s="86">
        <f>-MIN(H129,H132)</f>
        <v>91633.871940233803</v>
      </c>
      <c r="I133" s="86">
        <f>-MIN(I129,I132)</f>
        <v>91477.165286291769</v>
      </c>
      <c r="J133" s="86">
        <f>-MIN(J129,J132)</f>
        <v>93373.896127404048</v>
      </c>
      <c r="K133" s="86">
        <f>-MIN(K129,K132)</f>
        <v>95522.807775094305</v>
      </c>
      <c r="M133" t="s">
        <v>183</v>
      </c>
    </row>
    <row r="134" spans="3:19" x14ac:dyDescent="0.25">
      <c r="C134" s="74" t="s">
        <v>184</v>
      </c>
      <c r="D134" s="83"/>
      <c r="E134" s="83"/>
      <c r="F134" s="83"/>
      <c r="G134" s="75">
        <v>12000</v>
      </c>
      <c r="H134" s="75">
        <v>12000</v>
      </c>
      <c r="I134" s="75">
        <v>12000</v>
      </c>
      <c r="J134" s="75">
        <v>12000</v>
      </c>
      <c r="K134" s="75">
        <v>12000</v>
      </c>
      <c r="M134" t="s">
        <v>177</v>
      </c>
    </row>
    <row r="135" spans="3:19" x14ac:dyDescent="0.25">
      <c r="C135" s="28" t="s">
        <v>152</v>
      </c>
      <c r="D135" s="89">
        <f>D56</f>
        <v>0</v>
      </c>
      <c r="E135" s="89">
        <f>E56</f>
        <v>11977</v>
      </c>
      <c r="F135" s="89">
        <f>F56</f>
        <v>11964</v>
      </c>
      <c r="G135" s="90">
        <f>SUM(G132:G134)</f>
        <v>42832.089798687928</v>
      </c>
      <c r="H135" s="90">
        <f>SUM(H132:H134)</f>
        <v>146465.96173892173</v>
      </c>
      <c r="I135" s="90">
        <f>SUM(I132:I134)</f>
        <v>249943.1270252135</v>
      </c>
      <c r="J135" s="90">
        <f>SUM(J132:J134)</f>
        <v>355317.02315261756</v>
      </c>
      <c r="K135" s="90">
        <f>SUM(K132:K134)</f>
        <v>462839.83092771185</v>
      </c>
    </row>
    <row r="136" spans="3:19" x14ac:dyDescent="0.25">
      <c r="C136" s="91" t="s">
        <v>185</v>
      </c>
      <c r="D136" s="92"/>
      <c r="E136" s="92"/>
      <c r="F136" s="93"/>
      <c r="G136" s="94" t="str">
        <f>IF(G135&lt;0,"Negative Debt","OK")</f>
        <v>OK</v>
      </c>
      <c r="H136" s="94" t="str">
        <f>IF(H135&lt;0,"Negative Debt","OK")</f>
        <v>OK</v>
      </c>
      <c r="I136" s="94" t="str">
        <f>IF(I135&lt;0,"Negative Debt","OK")</f>
        <v>OK</v>
      </c>
      <c r="J136" s="94" t="str">
        <f>IF(J135&lt;0,"Negative Debt","OK")</f>
        <v>OK</v>
      </c>
      <c r="K136" s="95" t="str">
        <f>IF(K135&lt;0,"Negative Debt","OK")</f>
        <v>OK</v>
      </c>
      <c r="S136" s="40"/>
    </row>
    <row r="137" spans="3:19" x14ac:dyDescent="0.25">
      <c r="D137" s="42"/>
      <c r="E137" s="42"/>
      <c r="F137" s="96"/>
      <c r="G137" s="97"/>
      <c r="H137" s="97"/>
      <c r="I137" s="97"/>
      <c r="J137" s="97"/>
      <c r="K137" s="97"/>
      <c r="S137" s="40"/>
    </row>
    <row r="138" spans="3:19" x14ac:dyDescent="0.25">
      <c r="C138" s="14" t="s">
        <v>186</v>
      </c>
      <c r="D138" s="79"/>
      <c r="E138" s="79"/>
      <c r="F138" s="79"/>
      <c r="G138" s="98"/>
      <c r="H138" s="98"/>
      <c r="I138" s="98"/>
      <c r="J138" s="98"/>
      <c r="K138" s="98"/>
      <c r="R138" s="99"/>
    </row>
    <row r="139" spans="3:19" x14ac:dyDescent="0.25">
      <c r="C139" s="36" t="str">
        <f t="shared" ref="C139:K140" si="23">C14</f>
        <v xml:space="preserve">Fiscal year  </v>
      </c>
      <c r="D139" s="37">
        <f t="shared" si="23"/>
        <v>0</v>
      </c>
      <c r="E139" s="37">
        <f t="shared" si="23"/>
        <v>2024</v>
      </c>
      <c r="F139" s="37">
        <f t="shared" si="23"/>
        <v>2025</v>
      </c>
      <c r="G139" s="60">
        <f t="shared" si="23"/>
        <v>2026</v>
      </c>
      <c r="H139" s="60">
        <f t="shared" si="23"/>
        <v>2027</v>
      </c>
      <c r="I139" s="60">
        <f t="shared" si="23"/>
        <v>2028</v>
      </c>
      <c r="J139" s="60">
        <f t="shared" si="23"/>
        <v>2029</v>
      </c>
      <c r="K139" s="60">
        <f t="shared" si="23"/>
        <v>2030</v>
      </c>
      <c r="R139" s="99"/>
      <c r="S139" s="40"/>
    </row>
    <row r="140" spans="3:19" x14ac:dyDescent="0.25">
      <c r="C140" s="15" t="str">
        <f t="shared" si="23"/>
        <v>Fiscal year end date</v>
      </c>
      <c r="D140" s="38">
        <f t="shared" si="23"/>
        <v>0</v>
      </c>
      <c r="E140" s="38">
        <f t="shared" si="23"/>
        <v>0</v>
      </c>
      <c r="F140" s="38">
        <f t="shared" si="23"/>
        <v>0</v>
      </c>
      <c r="G140" s="38">
        <f t="shared" si="23"/>
        <v>0</v>
      </c>
      <c r="H140" s="38">
        <f t="shared" si="23"/>
        <v>0</v>
      </c>
      <c r="I140" s="38">
        <f t="shared" si="23"/>
        <v>0</v>
      </c>
      <c r="J140" s="38">
        <f t="shared" si="23"/>
        <v>0</v>
      </c>
      <c r="K140" s="38">
        <f t="shared" si="23"/>
        <v>0</v>
      </c>
      <c r="R140" s="99"/>
    </row>
    <row r="141" spans="3:19" x14ac:dyDescent="0.25">
      <c r="C141" s="28"/>
      <c r="D141" s="42"/>
      <c r="E141" s="42"/>
      <c r="F141" s="42"/>
      <c r="G141" s="100"/>
      <c r="H141" s="100"/>
      <c r="I141" s="100"/>
      <c r="J141" s="100"/>
      <c r="K141" s="100"/>
      <c r="R141" s="99"/>
    </row>
    <row r="142" spans="3:19" x14ac:dyDescent="0.25">
      <c r="C142" s="29" t="s">
        <v>187</v>
      </c>
      <c r="D142" s="42">
        <f>-(D24)</f>
        <v>1456</v>
      </c>
      <c r="E142" s="42">
        <f>-(E24)</f>
        <v>2323</v>
      </c>
      <c r="F142" s="42">
        <f>-(F24)</f>
        <v>3240</v>
      </c>
      <c r="G142" s="86">
        <f>G147+G152</f>
        <v>2961.9392651501776</v>
      </c>
      <c r="H142" s="86">
        <f>H147+H152</f>
        <v>2961.9392651501776</v>
      </c>
      <c r="I142" s="86">
        <f>I147+I152</f>
        <v>2961.9392651501776</v>
      </c>
      <c r="J142" s="86">
        <f>J147+J152</f>
        <v>2961.9392651501776</v>
      </c>
      <c r="K142" s="86">
        <f>K147+K152</f>
        <v>2961.9392651501776</v>
      </c>
      <c r="M142" t="s">
        <v>188</v>
      </c>
      <c r="R142" s="40"/>
    </row>
    <row r="143" spans="3:19" x14ac:dyDescent="0.25">
      <c r="C143" s="101"/>
      <c r="R143" s="40"/>
    </row>
    <row r="144" spans="3:19" x14ac:dyDescent="0.25">
      <c r="C144" s="102" t="s">
        <v>189</v>
      </c>
      <c r="R144" s="40"/>
    </row>
    <row r="145" spans="3:18" x14ac:dyDescent="0.25">
      <c r="C145" s="28" t="s">
        <v>190</v>
      </c>
      <c r="E145" s="103">
        <v>1.2E-2</v>
      </c>
      <c r="F145" s="103">
        <v>2.18E-2</v>
      </c>
      <c r="G145" s="104">
        <f>F145</f>
        <v>2.18E-2</v>
      </c>
      <c r="H145" s="104">
        <f>G145</f>
        <v>2.18E-2</v>
      </c>
      <c r="I145" s="104">
        <f>H145</f>
        <v>2.18E-2</v>
      </c>
      <c r="J145" s="104">
        <f>I145</f>
        <v>2.18E-2</v>
      </c>
      <c r="K145" s="104">
        <f>J145</f>
        <v>2.18E-2</v>
      </c>
      <c r="M145" t="s">
        <v>191</v>
      </c>
    </row>
    <row r="146" spans="3:18" x14ac:dyDescent="0.25">
      <c r="C146" s="28" t="s">
        <v>192</v>
      </c>
      <c r="D146" s="89"/>
      <c r="E146" s="89">
        <f t="shared" ref="E146:K146" si="24">E56</f>
        <v>11977</v>
      </c>
      <c r="F146" s="89">
        <f t="shared" si="24"/>
        <v>11964</v>
      </c>
      <c r="G146" s="86">
        <f t="shared" si="24"/>
        <v>42832.089798687928</v>
      </c>
      <c r="H146" s="86">
        <f t="shared" si="24"/>
        <v>146465.96173892173</v>
      </c>
      <c r="I146" s="86">
        <f t="shared" si="24"/>
        <v>249943.1270252135</v>
      </c>
      <c r="J146" s="86">
        <f t="shared" si="24"/>
        <v>355317.02315261756</v>
      </c>
      <c r="K146" s="86">
        <f t="shared" si="24"/>
        <v>462839.83092771185</v>
      </c>
      <c r="M146" t="s">
        <v>193</v>
      </c>
    </row>
    <row r="147" spans="3:18" x14ac:dyDescent="0.25">
      <c r="C147" s="105" t="s">
        <v>194</v>
      </c>
      <c r="D147" s="42"/>
      <c r="E147" s="45">
        <f>AVERAGE(D146:E146)*E145</f>
        <v>143.72399999999999</v>
      </c>
      <c r="F147" s="45">
        <f>AVERAGE(E146:F146)*F145</f>
        <v>260.95690000000002</v>
      </c>
      <c r="G147" s="106">
        <f>IF($D$7=1,AVERAGE(F146,G146)*G145,0)</f>
        <v>0</v>
      </c>
      <c r="H147" s="106">
        <f t="shared" ref="H147:K147" si="25">IF($D$7=1,AVERAGE(G146,H146)*H145,0)</f>
        <v>0</v>
      </c>
      <c r="I147" s="106">
        <f t="shared" si="25"/>
        <v>0</v>
      </c>
      <c r="J147" s="106">
        <f t="shared" si="25"/>
        <v>0</v>
      </c>
      <c r="K147" s="106">
        <f t="shared" si="25"/>
        <v>0</v>
      </c>
      <c r="M147" t="s">
        <v>195</v>
      </c>
    </row>
    <row r="148" spans="3:18" x14ac:dyDescent="0.25">
      <c r="C148" s="107"/>
      <c r="D148" s="42"/>
      <c r="E148" s="42"/>
      <c r="F148" s="42"/>
    </row>
    <row r="149" spans="3:18" x14ac:dyDescent="0.25">
      <c r="C149" s="102" t="s">
        <v>142</v>
      </c>
      <c r="D149" s="42"/>
      <c r="E149" s="42"/>
      <c r="F149" s="42"/>
    </row>
    <row r="150" spans="3:18" x14ac:dyDescent="0.25">
      <c r="C150" s="28" t="s">
        <v>192</v>
      </c>
      <c r="D150" s="42"/>
      <c r="E150" s="42">
        <f t="shared" ref="E150:K150" si="26">E57</f>
        <v>103703</v>
      </c>
      <c r="F150" s="42">
        <f t="shared" si="26"/>
        <v>102519</v>
      </c>
      <c r="G150" s="86">
        <f t="shared" si="26"/>
        <v>102519</v>
      </c>
      <c r="H150" s="86">
        <f t="shared" si="26"/>
        <v>102519</v>
      </c>
      <c r="I150" s="86">
        <f t="shared" si="26"/>
        <v>102519</v>
      </c>
      <c r="J150" s="86">
        <f t="shared" si="26"/>
        <v>102519</v>
      </c>
      <c r="K150" s="86">
        <f t="shared" si="26"/>
        <v>102519</v>
      </c>
      <c r="M150" t="s">
        <v>170</v>
      </c>
    </row>
    <row r="151" spans="3:18" x14ac:dyDescent="0.25">
      <c r="C151" s="28" t="s">
        <v>190</v>
      </c>
      <c r="E151" s="80">
        <f t="shared" ref="E151" si="27">E152/AVERAGE(D150:E150)</f>
        <v>2.101458974185896E-2</v>
      </c>
      <c r="F151" s="80">
        <f>F152/AVERAGE(E150:F150)</f>
        <v>2.8891612921996681E-2</v>
      </c>
      <c r="G151" s="108">
        <f>F151</f>
        <v>2.8891612921996681E-2</v>
      </c>
      <c r="H151" s="108">
        <f>G151</f>
        <v>2.8891612921996681E-2</v>
      </c>
      <c r="I151" s="108">
        <f>H151</f>
        <v>2.8891612921996681E-2</v>
      </c>
      <c r="J151" s="108">
        <f>I151</f>
        <v>2.8891612921996681E-2</v>
      </c>
      <c r="K151" s="108">
        <f>J151</f>
        <v>2.8891612921996681E-2</v>
      </c>
      <c r="M151" t="s">
        <v>191</v>
      </c>
      <c r="R151" s="99"/>
    </row>
    <row r="152" spans="3:18" x14ac:dyDescent="0.25">
      <c r="C152" s="76" t="s">
        <v>196</v>
      </c>
      <c r="D152" s="45"/>
      <c r="E152" s="45">
        <f>E142-E147</f>
        <v>2179.2759999999998</v>
      </c>
      <c r="F152" s="45">
        <f>F142-F147</f>
        <v>2979.0430999999999</v>
      </c>
      <c r="G152" s="109">
        <f>G151*AVERAGE(F150:G150)</f>
        <v>2961.9392651501776</v>
      </c>
      <c r="H152" s="109">
        <f>H151*AVERAGE(G150:H150)</f>
        <v>2961.9392651501776</v>
      </c>
      <c r="I152" s="109">
        <f>I151*AVERAGE(H150:I150)</f>
        <v>2961.9392651501776</v>
      </c>
      <c r="J152" s="109">
        <f>J151*AVERAGE(I150:J150)</f>
        <v>2961.9392651501776</v>
      </c>
      <c r="K152" s="109">
        <f>K151*AVERAGE(J150:K150)</f>
        <v>2961.9392651501776</v>
      </c>
      <c r="M152" t="s">
        <v>197</v>
      </c>
    </row>
    <row r="153" spans="3:18" x14ac:dyDescent="0.25">
      <c r="E153" s="42"/>
    </row>
    <row r="154" spans="3:18" x14ac:dyDescent="0.25">
      <c r="C154" s="101" t="s">
        <v>198</v>
      </c>
      <c r="E154" s="42"/>
      <c r="F154" s="42"/>
    </row>
    <row r="155" spans="3:18" x14ac:dyDescent="0.25">
      <c r="C155" s="28" t="s">
        <v>69</v>
      </c>
      <c r="D155" s="110">
        <v>1.7299999999999999E-2</v>
      </c>
      <c r="E155" s="103">
        <v>1.9900000000000001E-2</v>
      </c>
      <c r="F155" s="103">
        <v>2.1600000000000001E-2</v>
      </c>
      <c r="G155" s="111">
        <f>F155</f>
        <v>2.1600000000000001E-2</v>
      </c>
      <c r="H155" s="111">
        <f>G155</f>
        <v>2.1600000000000001E-2</v>
      </c>
      <c r="I155" s="111">
        <f>H155</f>
        <v>2.1600000000000001E-2</v>
      </c>
      <c r="J155" s="111">
        <f>I155</f>
        <v>2.1600000000000001E-2</v>
      </c>
      <c r="K155" s="111">
        <f>J155</f>
        <v>2.1600000000000001E-2</v>
      </c>
      <c r="M155" t="s">
        <v>191</v>
      </c>
    </row>
    <row r="156" spans="3:18" x14ac:dyDescent="0.25">
      <c r="C156" s="28" t="s">
        <v>16</v>
      </c>
      <c r="D156" s="42">
        <f>D23</f>
        <v>3999</v>
      </c>
      <c r="E156" s="42">
        <f>E23</f>
        <v>5201</v>
      </c>
      <c r="F156" s="42">
        <f>F23</f>
        <v>5686</v>
      </c>
      <c r="G156" s="112">
        <f>IF($D$7=1,AVERAGE(F45,G45)*G155,0)</f>
        <v>0</v>
      </c>
      <c r="H156" s="112">
        <f t="shared" ref="H156:K156" si="28">IF($D$7=1,AVERAGE(G45,H45)*H155,0)</f>
        <v>0</v>
      </c>
      <c r="I156" s="112">
        <f t="shared" si="28"/>
        <v>0</v>
      </c>
      <c r="J156" s="112">
        <f t="shared" si="28"/>
        <v>0</v>
      </c>
      <c r="K156" s="112">
        <f t="shared" si="28"/>
        <v>0</v>
      </c>
      <c r="M156" t="s">
        <v>199</v>
      </c>
    </row>
    <row r="157" spans="3:18" x14ac:dyDescent="0.25">
      <c r="C157" s="113"/>
      <c r="D157" s="80"/>
      <c r="E157" s="80"/>
      <c r="F157" s="80"/>
      <c r="G157" s="80"/>
      <c r="H157" s="80"/>
    </row>
  </sheetData>
  <conditionalFormatting sqref="C39">
    <cfRule type="expression" dxfId="0" priority="1">
      <formula>#REF!=$C39</formula>
    </cfRule>
  </conditionalFormatting>
  <dataValidations count="2">
    <dataValidation type="list" allowBlank="1" showInputMessage="1" showErrorMessage="1" sqref="C3" xr:uid="{8182F60B-16F6-4EFF-9330-98EB92F05E17}">
      <formula1>"$ bns except per share, $ mm except per share,$ in thousands except per share"</formula1>
    </dataValidation>
    <dataValidation type="list" allowBlank="1" showInputMessage="1" showErrorMessage="1" sqref="D7" xr:uid="{CCE0FD5B-0F0D-4561-BA17-52C228672B79}">
      <formula1>"0,1"</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2026-02-04T05:19:36Z</dcterms:created>
  <dcterms:modified xsi:type="dcterms:W3CDTF">2026-02-09T11:28:13Z</dcterms:modified>
</cp:coreProperties>
</file>